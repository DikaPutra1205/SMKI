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Dashboard" sheetId="2" state="visible" r:id="rId4"/>
    <sheet name="ISO27001-2022" sheetId="3" state="visible" r:id="rId5"/>
    <sheet name="ISO27701-A1_Controller" sheetId="4" state="visible" r:id="rId6"/>
    <sheet name="ISO27701-A2_Processor" sheetId="5" state="visible" r:id="rId7"/>
    <sheet name="ISO27701-A3_Share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<sst xmlns="http://schemas.openxmlformats.org/spreadsheetml/2006/main" count="1529" uniqueCount="610">
  <si>
    <t xml:space="preserve">Template Manajemen Kontrol ISO/IEC 27001:2022 &amp; ISO/IEC 27701:2025</t>
  </si>
  <si>
    <t xml:space="preserve">Panduan Penggunaan &amp; Legenda — siap untuk diimpor / diintegrasikan ke aplikasi GRC internal</t>
  </si>
  <si>
    <t xml:space="preserve">Tujuan Workbook</t>
  </si>
  <si>
    <t xml:space="preserve">Workbook ini adalah data master (single source of truth) status implementasi kontrol ISO/IEC 27001:2022 (Annex A, 93 kontrol) dan ISO/IEC 27701:2025 (Annex A.1 PII Controller/31, A.2 PII Processor/18, A.3 Shared Security/29). Setiap baris pada sheet kontrol adalah satu record yang dapat langsung diimpor (CSV/Excel import) ke aplikasi/GRC-tool untuk membangkitkan laporan monitoring progres.</t>
  </si>
  <si>
    <t xml:space="preserve">Struktur Sheet</t>
  </si>
  <si>
    <t xml:space="preserve">1) Panduan — halaman ini.  2) ISO27001-2022 — 93 kontrol.  3) ISO27701-A1_Controller — 31 kontrol.  4) ISO27701-A2_Processor — 18 kontrol.  5) ISO27701-A3_Shared — 29 kontrol.  6) Dashboard — ringkasan &amp; grafik progres otomatis (formula, tidak perlu diisi manual).</t>
  </si>
  <si>
    <t xml:space="preserve">Kolom yang BOLEH diedit (kuning)</t>
  </si>
  <si>
    <t xml:space="preserve">Berlaku (Y/N), Justifikasi, Status Implementasi, Level Maturity, PIC/Pemilik Kontrol, Bukti/Referensi Dokumen, Target Tanggal, Tanggal Selesai, Prioritas Risiko, Tanggal Review Terakhir/Berikutnya, Catatan. Kolom Progres (%) otomatis mengikuti Status, namun boleh ditimpa manual bila perlu granularitas lebih detail (0-100%).</t>
  </si>
  <si>
    <t xml:space="preserve">Kolom yang JANGAN diubah</t>
  </si>
  <si>
    <t xml:space="preserve">No, ID Kontrol, Domain/Peran, Klausul/Objektif, Nama Kontrol, Deskripsi Singkat — ini adalah referensi baku struktur standar dan menjadi kunci (key) saat data diimpor ke aplikasi.</t>
  </si>
  <si>
    <t xml:space="preserve">Status Implementasi</t>
  </si>
  <si>
    <t xml:space="preserve">Belum Dimulai (0%) → Dalam Proses (50%) → Diterapkan (100%) → Tidak Berlaku/N/A (dikecualikan dari SoA, dihitung 100% dari basis yang berlaku).</t>
  </si>
  <si>
    <t xml:space="preserve">Level Maturity (0-5)</t>
  </si>
  <si>
    <t xml:space="preserve">0 = Tidak ada · 1 = Ad-hoc/Initial · 2 = Repeatable · 3 = Defined · 4 = Managed &amp; Measurable · 5 = Optimized. Skala ini selaras dengan model maturitas umum (mis. CMMI-like) yang lazim dipakai audit ISO 27001.</t>
  </si>
  <si>
    <t xml:space="preserve">Berlaku (Y/N) &amp; Statement of Applicability</t>
  </si>
  <si>
    <t xml:space="preserve">Kolom ini merepresentasikan keputusan applicability (SoA). Jika 'Tidak', wajib isi kolom Justifikasi agar siap dipakai sebagai lampiran SoA formal.</t>
  </si>
  <si>
    <t xml:space="preserve">Prioritas Risiko</t>
  </si>
  <si>
    <t xml:space="preserve">Tinggi/Sedang/Rendah — dipakai aplikasi untuk menyorot kontrol kritikal yang belum diterapkan pada laporan monitoring/eksekutif.</t>
  </si>
  <si>
    <t xml:space="preserve">Integrasi ke Aplikasi</t>
  </si>
  <si>
    <t xml:space="preserve">Header kolom (baris 4 pada tiap sheet kontrol) didesain sebagai nama field API/database (snake_case dapat dipetakan 1:1). ID Kontrol bersifat unik per standar dan dapat dipakai sebagai primary/foreign key. Sheet Dashboard hanya berisi formula agregasi — aplikasi dapat menghitung ulang metrik yang sama dari data mentah di sheet kontrol.</t>
  </si>
  <si>
    <t xml:space="preserve">Update Berkala</t>
  </si>
  <si>
    <t xml:space="preserve">Disarankan me-review &amp; memperbarui status minimal setiap bulan (monitoring progres) dan setiap kali ada perubahan bukti/evidence, agar dashboard &amp; laporan PDF yang digenerate aplikasi selalu mencerminkan kondisi terkini.</t>
  </si>
  <si>
    <t xml:space="preserve">Catatan Akurasi Standar</t>
  </si>
  <si>
    <t xml:space="preserve">Judul &amp; pengelompokan kontrol pada template ini disusun ringkas mengikuti struktur resmi ISO/IEC 27001:2022 dan ISO/IEC 27701:2025 untuk kebutuhan kerja internal, bukan kutipan/salinan redaksi resmi standar. Untuk keperluan sertifikasi/audit resmi, verifikasi ulang terhadap dokumen ISO/IEC 27001:2022 dan ISO/IEC 27701:2025 asli (berbayar, hak cipta ISO/IEC).</t>
  </si>
  <si>
    <t xml:space="preserve">Legenda Warna Status</t>
  </si>
  <si>
    <t xml:space="preserve">Belum Dimulai</t>
  </si>
  <si>
    <t xml:space="preserve">Dalam Proses</t>
  </si>
  <si>
    <t xml:space="preserve">Diterapkan</t>
  </si>
  <si>
    <t xml:space="preserve">Tidak Berlaku (N/A)</t>
  </si>
  <si>
    <t xml:space="preserve">Dibuat:</t>
  </si>
  <si>
    <t xml:space="preserve">08 September 2026</t>
  </si>
  <si>
    <t xml:space="preserve">Versi Template:</t>
  </si>
  <si>
    <t xml:space="preserve">1.0</t>
  </si>
  <si>
    <t xml:space="preserve">Dashboard Monitoring Progres — ISO/IEC 27001:2022 &amp; ISO/IEC 27701:2025</t>
  </si>
  <si>
    <t xml:space="preserve">Seluruh angka pada sheet ini dihitung otomatis (formula) dari sheet kontrol. Perbarui status di sheet masing-masing standar.</t>
  </si>
  <si>
    <t xml:space="preserve">Ringkasan per Standar</t>
  </si>
  <si>
    <t xml:space="preserve">Standar / Ruang Lingkup</t>
  </si>
  <si>
    <t xml:space="preserve">Total Kontrol</t>
  </si>
  <si>
    <t xml:space="preserve">Berlaku (Applicable)</t>
  </si>
  <si>
    <t xml:space="preserve">Tidak Berlaku</t>
  </si>
  <si>
    <t xml:space="preserve">% Progres (dari yang berlaku)</t>
  </si>
  <si>
    <t xml:space="preserve">ISO/IEC 27001:2022 (Annex A)</t>
  </si>
  <si>
    <t xml:space="preserve">ISO/IEC 27701:2025 - A.1 Controller</t>
  </si>
  <si>
    <t xml:space="preserve">ISO/IEC 27701:2025 - A.2 Processor</t>
  </si>
  <si>
    <t xml:space="preserve">ISO/IEC 27701:2025 - A.3 Shared</t>
  </si>
  <si>
    <t xml:space="preserve">TOTAL GABUNGAN</t>
  </si>
  <si>
    <t xml:space="preserve">Indikator Utama (Seluruh Standar)</t>
  </si>
  <si>
    <t xml:space="preserve">Kontrol Berlaku</t>
  </si>
  <si>
    <t xml:space="preserve">Sudah Diterapkan</t>
  </si>
  <si>
    <t xml:space="preserve">Progres Keseluruhan</t>
  </si>
  <si>
    <t xml:space="preserve">Progres per Domain — ISO/IEC 27001:2022</t>
  </si>
  <si>
    <t xml:space="preserve">Domain</t>
  </si>
  <si>
    <t xml:space="preserve">Total</t>
  </si>
  <si>
    <t xml:space="preserve">% Progres</t>
  </si>
  <si>
    <t xml:space="preserve">Organisasi</t>
  </si>
  <si>
    <t xml:space="preserve">SDM</t>
  </si>
  <si>
    <t xml:space="preserve">Fisik</t>
  </si>
  <si>
    <t xml:space="preserve">Teknologi</t>
  </si>
  <si>
    <t xml:space="preserve">Manajemen Kontrol — ISO/IEC 27001:2022 — Annex A (93 Kontrol)</t>
  </si>
  <si>
    <t xml:space="preserve">Sheet siap-import: setiap baris = satu record kontrol. Isi hanya kolom berwarna kuning (G, I-Q). Jangan mengubah kolom A-F.</t>
  </si>
  <si>
    <t xml:space="preserve">No</t>
  </si>
  <si>
    <t xml:space="preserve">ID Kontrol</t>
  </si>
  <si>
    <t xml:space="preserve">Domain / Peran</t>
  </si>
  <si>
    <t xml:space="preserve">Klausul / Objektif</t>
  </si>
  <si>
    <t xml:space="preserve">Nama Kontrol</t>
  </si>
  <si>
    <t xml:space="preserve">Deskripsi Singkat</t>
  </si>
  <si>
    <t xml:space="preserve">Berlaku (Y/N)</t>
  </si>
  <si>
    <t xml:space="preserve">Justifikasi bila Tidak Berlaku</t>
  </si>
  <si>
    <t xml:space="preserve">Progres (%)</t>
  </si>
  <si>
    <t xml:space="preserve">PIC / Pemilik Kontrol</t>
  </si>
  <si>
    <t xml:space="preserve">Bukti / Referensi Dokumen</t>
  </si>
  <si>
    <t xml:space="preserve">Target Tanggal</t>
  </si>
  <si>
    <t xml:space="preserve">Tanggal Selesai</t>
  </si>
  <si>
    <t xml:space="preserve">Tanggal Review Terakhir</t>
  </si>
  <si>
    <t xml:space="preserve">Tanggal Review Berikutnya</t>
  </si>
  <si>
    <t xml:space="preserve">Catatan</t>
  </si>
  <si>
    <t xml:space="preserve">A.5.1</t>
  </si>
  <si>
    <t xml:space="preserve">Kebijakan Keamanan Informasi</t>
  </si>
  <si>
    <t xml:space="preserve">Kebijakan keamanan informasi</t>
  </si>
  <si>
    <t xml:space="preserve">Menetapkan, menyetujui, dan mengomunikasikan kebijakan keamanan informasi serta kebijakan turunannya.</t>
  </si>
  <si>
    <t xml:space="preserve">Ya</t>
  </si>
  <si>
    <t xml:space="preserve">Nama PIC (mis. IT Security Manager)</t>
  </si>
  <si>
    <t xml:space="preserve">Link/No. dokumen SOP terkait</t>
  </si>
  <si>
    <t xml:space="preserve">Tinggi</t>
  </si>
  <si>
    <t xml:space="preserve">Contoh catatan: draft kebijakan sudah direview, menunggu approval CISO.</t>
  </si>
  <si>
    <t xml:space="preserve">A.5.2</t>
  </si>
  <si>
    <t xml:space="preserve">Peran &amp; Tanggung Jawab</t>
  </si>
  <si>
    <t xml:space="preserve">Peran dan tanggung jawab keamanan informasi</t>
  </si>
  <si>
    <t xml:space="preserve">Mendefinisikan dan mengalokasikan peran serta tanggung jawab keamanan informasi di organisasi.</t>
  </si>
  <si>
    <t xml:space="preserve">Sedang</t>
  </si>
  <si>
    <t xml:space="preserve">A.5.3</t>
  </si>
  <si>
    <t xml:space="preserve">Pemisahan tugas (segregation of duties)</t>
  </si>
  <si>
    <t xml:space="preserve">Memisahkan tugas dan area tanggung jawab yang saling bertentangan untuk mengurangi risiko.</t>
  </si>
  <si>
    <t xml:space="preserve">A.5.4</t>
  </si>
  <si>
    <t xml:space="preserve">Tanggung Jawab Manajemen</t>
  </si>
  <si>
    <t xml:space="preserve">Tanggung jawab manajemen</t>
  </si>
  <si>
    <t xml:space="preserve">Manajemen mensyaratkan seluruh personel menerapkan keamanan informasi sesuai kebijakan.</t>
  </si>
  <si>
    <t xml:space="preserve">A.5.5</t>
  </si>
  <si>
    <t xml:space="preserve">Kontak Otoritas</t>
  </si>
  <si>
    <t xml:space="preserve">Kontak dengan otoritas</t>
  </si>
  <si>
    <t xml:space="preserve">Menjaga kontak yang sesuai dengan otoritas terkait (regulator, penegak hukum, dll).</t>
  </si>
  <si>
    <t xml:space="preserve">A.5.6</t>
  </si>
  <si>
    <t xml:space="preserve">Kontak Kelompok Khusus</t>
  </si>
  <si>
    <t xml:space="preserve">Kontak dengan kelompok/forum minat khusus</t>
  </si>
  <si>
    <t xml:space="preserve">Menjaga kontak dengan forum keamanan dan asosiasi profesional terkait.</t>
  </si>
  <si>
    <t xml:space="preserve">A.5.7</t>
  </si>
  <si>
    <t xml:space="preserve">Threat Intelligence</t>
  </si>
  <si>
    <t xml:space="preserve">Intelijen ancaman (threat intelligence)</t>
  </si>
  <si>
    <t xml:space="preserve">Mengumpulkan dan menganalisis informasi ancaman untuk mitigasi risiko.</t>
  </si>
  <si>
    <t xml:space="preserve">A.5.8</t>
  </si>
  <si>
    <t xml:space="preserve">Manajemen Proyek</t>
  </si>
  <si>
    <t xml:space="preserve">Keamanan informasi dalam manajemen proyek</t>
  </si>
  <si>
    <t xml:space="preserve">Mengintegrasikan keamanan informasi ke dalam manajemen proyek.</t>
  </si>
  <si>
    <t xml:space="preserve">A.5.9</t>
  </si>
  <si>
    <t xml:space="preserve">Manajemen Aset</t>
  </si>
  <si>
    <t xml:space="preserve">Inventaris informasi dan aset terkait</t>
  </si>
  <si>
    <t xml:space="preserve">Menyusun dan memelihara inventaris informasi serta aset pendukungnya.</t>
  </si>
  <si>
    <t xml:space="preserve">A.5.10</t>
  </si>
  <si>
    <t xml:space="preserve">Penggunaan aset yang dapat diterima (acceptable use)</t>
  </si>
  <si>
    <t xml:space="preserve">Menetapkan aturan penggunaan informasi dan aset yang dapat diterima.</t>
  </si>
  <si>
    <t xml:space="preserve">A.5.11</t>
  </si>
  <si>
    <t xml:space="preserve">Pengembalian aset</t>
  </si>
  <si>
    <t xml:space="preserve">Memastikan aset dikembalikan saat perubahan/pemutusan hubungan kerja.</t>
  </si>
  <si>
    <t xml:space="preserve">A.5.12</t>
  </si>
  <si>
    <t xml:space="preserve">Klasifikasi Informasi</t>
  </si>
  <si>
    <t xml:space="preserve">Klasifikasi informasi</t>
  </si>
  <si>
    <t xml:space="preserve">Mengklasifikasikan informasi berdasarkan kebutuhan kerahasiaan, integritas, ketersediaan.</t>
  </si>
  <si>
    <t xml:space="preserve">A.5.13</t>
  </si>
  <si>
    <t xml:space="preserve">Pelabelan informasi</t>
  </si>
  <si>
    <t xml:space="preserve">Mengembangkan dan menerapkan prosedur pelabelan informasi sesuai klasifikasi.</t>
  </si>
  <si>
    <t xml:space="preserve">A.5.14</t>
  </si>
  <si>
    <t xml:space="preserve">Transfer Informasi</t>
  </si>
  <si>
    <t xml:space="preserve">Transfer informasi</t>
  </si>
  <si>
    <t xml:space="preserve">Menetapkan aturan, prosedur, dan perjanjian transfer informasi antar pihak.</t>
  </si>
  <si>
    <t xml:space="preserve">A.5.15</t>
  </si>
  <si>
    <t xml:space="preserve">Kontrol Akses</t>
  </si>
  <si>
    <t xml:space="preserve">Kontrol akses</t>
  </si>
  <si>
    <t xml:space="preserve">Menetapkan aturan kontrol akses fisik dan logis berbasis kebutuhan bisnis.</t>
  </si>
  <si>
    <t xml:space="preserve">A.5.16</t>
  </si>
  <si>
    <t xml:space="preserve">Manajemen identitas</t>
  </si>
  <si>
    <t xml:space="preserve">Mengelola siklus hidup penuh identitas pengguna dan entitas.</t>
  </si>
  <si>
    <t xml:space="preserve">A.5.17</t>
  </si>
  <si>
    <t xml:space="preserve">Informasi autentikasi</t>
  </si>
  <si>
    <t xml:space="preserve">Mengelola alokasi dan penyimpanan informasi autentikasi secara aman.</t>
  </si>
  <si>
    <t xml:space="preserve">A.5.18</t>
  </si>
  <si>
    <t xml:space="preserve">Hak akses</t>
  </si>
  <si>
    <t xml:space="preserve">Menyediakan, meninjau, memodifikasi, dan mencabut hak akses sesuai kebijakan.</t>
  </si>
  <si>
    <t xml:space="preserve">A.5.19</t>
  </si>
  <si>
    <t xml:space="preserve">Hubungan Pemasok</t>
  </si>
  <si>
    <t xml:space="preserve">Keamanan informasi dalam hubungan pemasok</t>
  </si>
  <si>
    <t xml:space="preserve">Menetapkan proses untuk mengelola risiko keamanan informasi terkait pemasok.</t>
  </si>
  <si>
    <t xml:space="preserve">A.5.20</t>
  </si>
  <si>
    <t xml:space="preserve">Keamanan informasi dalam perjanjian pemasok</t>
  </si>
  <si>
    <t xml:space="preserve">Menetapkan persyaratan keamanan informasi dalam kontrak/perjanjian pemasok.</t>
  </si>
  <si>
    <t xml:space="preserve">A.5.21</t>
  </si>
  <si>
    <t xml:space="preserve">Keamanan informasi dalam rantai pasok ICT</t>
  </si>
  <si>
    <t xml:space="preserve">Mengelola risiko keamanan informasi dalam rantai pasok produk/layanan ICT.</t>
  </si>
  <si>
    <t xml:space="preserve">A.5.22</t>
  </si>
  <si>
    <t xml:space="preserve">Pemantauan, review dan perubahan layanan pemasok</t>
  </si>
  <si>
    <t xml:space="preserve">Memantau, meninjau, dan mengelola perubahan pada layanan pemasok secara berkala.</t>
  </si>
  <si>
    <t xml:space="preserve">A.5.23</t>
  </si>
  <si>
    <t xml:space="preserve">Keamanan informasi untuk penggunaan layanan cloud</t>
  </si>
  <si>
    <t xml:space="preserve">Mengelola proses akuisisi, penggunaan, dan penghentian layanan cloud secara aman.</t>
  </si>
  <si>
    <t xml:space="preserve">A.5.24</t>
  </si>
  <si>
    <t xml:space="preserve">Manajemen Insiden</t>
  </si>
  <si>
    <t xml:space="preserve">Perencanaan manajemen insiden keamanan informasi</t>
  </si>
  <si>
    <t xml:space="preserve">Merencanakan dan menyiapkan proses manajemen insiden keamanan informasi.</t>
  </si>
  <si>
    <t xml:space="preserve">A.5.25</t>
  </si>
  <si>
    <t xml:space="preserve">Penilaian dan keputusan atas kejadian keamanan informasi</t>
  </si>
  <si>
    <t xml:space="preserve">Menilai kejadian keamanan informasi dan memutuskan klasifikasinya sebagai insiden.</t>
  </si>
  <si>
    <t xml:space="preserve">A.5.26</t>
  </si>
  <si>
    <t xml:space="preserve">Respons terhadap insiden keamanan informasi</t>
  </si>
  <si>
    <t xml:space="preserve">Menanggapi insiden keamanan informasi sesuai prosedur terdokumentasi.</t>
  </si>
  <si>
    <t xml:space="preserve">A.5.27</t>
  </si>
  <si>
    <t xml:space="preserve">Pembelajaran dari insiden keamanan informasi</t>
  </si>
  <si>
    <t xml:space="preserve">Menggunakan pengetahuan dari insiden untuk memperkuat kontrol.</t>
  </si>
  <si>
    <t xml:space="preserve">A.5.28</t>
  </si>
  <si>
    <t xml:space="preserve">Pengumpulan bukti (forensik)</t>
  </si>
  <si>
    <t xml:space="preserve">Menetapkan prosedur identifikasi, pengumpulan, dan pengamanan bukti.</t>
  </si>
  <si>
    <t xml:space="preserve">A.5.29</t>
  </si>
  <si>
    <t xml:space="preserve">Keberlangsungan Bisnis</t>
  </si>
  <si>
    <t xml:space="preserve">Keamanan informasi selama gangguan (disruption)</t>
  </si>
  <si>
    <t xml:space="preserve">Menjaga keamanan informasi pada tingkat sesuai selama kondisi gangguan.</t>
  </si>
  <si>
    <t xml:space="preserve">A.5.30</t>
  </si>
  <si>
    <t xml:space="preserve">Kesiapan ICT untuk keberlangsungan bisnis</t>
  </si>
  <si>
    <t xml:space="preserve">Merencanakan, menerapkan, dan menguji kesiapan ICT untuk BCM.</t>
  </si>
  <si>
    <t xml:space="preserve">A.5.31</t>
  </si>
  <si>
    <t xml:space="preserve">Kepatuhan</t>
  </si>
  <si>
    <t xml:space="preserve">Persyaratan hukum, statuter, regulasi dan kontraktual</t>
  </si>
  <si>
    <t xml:space="preserve">Mengidentifikasi dan memenuhi persyaratan hukum, regulasi, dan kontraktual terkait.</t>
  </si>
  <si>
    <t xml:space="preserve">A.5.32</t>
  </si>
  <si>
    <t xml:space="preserve">Hak kekayaan intelektual</t>
  </si>
  <si>
    <t xml:space="preserve">Menerapkan prosedur kepatuhan terhadap hak kekayaan intelektual.</t>
  </si>
  <si>
    <t xml:space="preserve">A.5.33</t>
  </si>
  <si>
    <t xml:space="preserve">Perlindungan catatan (records)</t>
  </si>
  <si>
    <t xml:space="preserve">Melindungi catatan dari kehilangan, kerusakan, pemalsuan, dan akses tidak sah.</t>
  </si>
  <si>
    <t xml:space="preserve">A.5.34</t>
  </si>
  <si>
    <t xml:space="preserve">Privasi dan perlindungan PII</t>
  </si>
  <si>
    <t xml:space="preserve">Mengidentifikasi dan memenuhi persyaratan privasi/PII sesuai regulasi berlaku.</t>
  </si>
  <si>
    <t xml:space="preserve">A.5.35</t>
  </si>
  <si>
    <t xml:space="preserve">Kajian independen atas keamanan informasi</t>
  </si>
  <si>
    <t xml:space="preserve">Meninjau pendekatan keamanan informasi organisasi secara independen dan berkala.</t>
  </si>
  <si>
    <t xml:space="preserve">A.5.36</t>
  </si>
  <si>
    <t xml:space="preserve">Kepatuhan terhadap kebijakan, aturan dan standar</t>
  </si>
  <si>
    <t xml:space="preserve">Meninjau kepatuhan operasional terhadap kebijakan dan standar keamanan informasi.</t>
  </si>
  <si>
    <t xml:space="preserve">A.5.37</t>
  </si>
  <si>
    <t xml:space="preserve">Operasional</t>
  </si>
  <si>
    <t xml:space="preserve">Prosedur operasi terdokumentasi</t>
  </si>
  <si>
    <t xml:space="preserve">Mendokumentasikan dan menyediakan prosedur operasi bagi personel yang membutuhkan.</t>
  </si>
  <si>
    <t xml:space="preserve">A.6.1</t>
  </si>
  <si>
    <t xml:space="preserve">Sebelum Bekerja</t>
  </si>
  <si>
    <t xml:space="preserve">Penyaringan (screening)</t>
  </si>
  <si>
    <t xml:space="preserve">Melakukan pemeriksaan latar belakang kandidat sesuai hukum dan sensitivitas peran.</t>
  </si>
  <si>
    <t xml:space="preserve">A.6.2</t>
  </si>
  <si>
    <t xml:space="preserve">Syarat dan ketentuan kerja</t>
  </si>
  <si>
    <t xml:space="preserve">Mencantumkan tanggung jawab keamanan informasi dalam kontrak kerja.</t>
  </si>
  <si>
    <t xml:space="preserve">A.6.3</t>
  </si>
  <si>
    <t xml:space="preserve">Selama Bekerja</t>
  </si>
  <si>
    <t xml:space="preserve">Kesadaran, edukasi dan pelatihan keamanan informasi</t>
  </si>
  <si>
    <t xml:space="preserve">Memberikan pelatihan dan kesadaran keamanan informasi secara berkala.</t>
  </si>
  <si>
    <t xml:space="preserve">A.6.4</t>
  </si>
  <si>
    <t xml:space="preserve">Proses disipliner</t>
  </si>
  <si>
    <t xml:space="preserve">Menetapkan proses disipliner formal atas pelanggaran keamanan informasi.</t>
  </si>
  <si>
    <t xml:space="preserve">A.6.5</t>
  </si>
  <si>
    <t xml:space="preserve">Pemutusan/Perubahan</t>
  </si>
  <si>
    <t xml:space="preserve">Tanggung jawab setelah pemutusan/perubahan kerja</t>
  </si>
  <si>
    <t xml:space="preserve">Mendefinisikan tanggung jawab keamanan informasi pasca pemutusan/perubahan kerja.</t>
  </si>
  <si>
    <t xml:space="preserve">A.6.6</t>
  </si>
  <si>
    <t xml:space="preserve">Kerahasiaan</t>
  </si>
  <si>
    <t xml:space="preserve">Perjanjian kerahasiaan / NDA</t>
  </si>
  <si>
    <t xml:space="preserve">Mengidentifikasi dan menerapkan perjanjian kerahasiaan/non-disclosure.</t>
  </si>
  <si>
    <t xml:space="preserve">A.6.7</t>
  </si>
  <si>
    <t xml:space="preserve">Cara Kerja</t>
  </si>
  <si>
    <t xml:space="preserve">Kerja jarak jauh (remote working)</t>
  </si>
  <si>
    <t xml:space="preserve">Menerapkan langkah keamanan saat personel bekerja dari lokasi jarak jauh.</t>
  </si>
  <si>
    <t xml:space="preserve">A.6.8</t>
  </si>
  <si>
    <t xml:space="preserve">Pelaporan</t>
  </si>
  <si>
    <t xml:space="preserve">Pelaporan kejadian keamanan informasi</t>
  </si>
  <si>
    <t xml:space="preserve">Menyediakan mekanisme pelaporan kejadian keamanan informasi secara tepat waktu.</t>
  </si>
  <si>
    <t xml:space="preserve">A.7.1</t>
  </si>
  <si>
    <t xml:space="preserve">Area Aman</t>
  </si>
  <si>
    <t xml:space="preserve">Perimeter keamanan fisik</t>
  </si>
  <si>
    <t xml:space="preserve">Mendefinisikan dan menggunakan perimeter keamanan untuk melindungi area sensitif.</t>
  </si>
  <si>
    <t xml:space="preserve">A.7.2</t>
  </si>
  <si>
    <t xml:space="preserve">Akses masuk fisik (physical entry)</t>
  </si>
  <si>
    <t xml:space="preserve">Melindungi area aman dengan kontrol dan titik akses masuk yang sesuai.</t>
  </si>
  <si>
    <t xml:space="preserve">A.7.3</t>
  </si>
  <si>
    <t xml:space="preserve">Pengamanan kantor, ruangan dan fasilitas</t>
  </si>
  <si>
    <t xml:space="preserve">Merancang dan menerapkan keamanan fisik untuk kantor, ruangan, dan fasilitas.</t>
  </si>
  <si>
    <t xml:space="preserve">A.7.4</t>
  </si>
  <si>
    <t xml:space="preserve">Pemantauan keamanan fisik</t>
  </si>
  <si>
    <t xml:space="preserve">Memantau area sensitif secara terus-menerus terhadap akses tidak sah.</t>
  </si>
  <si>
    <t xml:space="preserve">A.7.5</t>
  </si>
  <si>
    <t xml:space="preserve">Perlindungan terhadap ancaman fisik dan lingkungan</t>
  </si>
  <si>
    <t xml:space="preserve">Merancang dan menerapkan proteksi terhadap bencana alam dan ancaman lingkungan.</t>
  </si>
  <si>
    <t xml:space="preserve">A.7.6</t>
  </si>
  <si>
    <t xml:space="preserve">Bekerja di area aman</t>
  </si>
  <si>
    <t xml:space="preserve">Merancang dan menerapkan langkah keamanan untuk bekerja di area aman.</t>
  </si>
  <si>
    <t xml:space="preserve">A.7.7</t>
  </si>
  <si>
    <t xml:space="preserve">Meja bersih dan layar bersih (clear desk/screen)</t>
  </si>
  <si>
    <t xml:space="preserve">Menetapkan aturan clear desk untuk dokumen dan clear screen untuk perangkat.</t>
  </si>
  <si>
    <t xml:space="preserve">A.7.8</t>
  </si>
  <si>
    <t xml:space="preserve">Peralatan</t>
  </si>
  <si>
    <t xml:space="preserve">Penempatan dan proteksi peralatan</t>
  </si>
  <si>
    <t xml:space="preserve">Menempatkan dan melindungi peralatan secara aman untuk mengurangi risiko.</t>
  </si>
  <si>
    <t xml:space="preserve">A.7.9</t>
  </si>
  <si>
    <t xml:space="preserve">Keamanan aset di luar lokasi (off-premises)</t>
  </si>
  <si>
    <t xml:space="preserve">Melindungi aset yang berada di luar lokasi organisasi.</t>
  </si>
  <si>
    <t xml:space="preserve">A.7.10</t>
  </si>
  <si>
    <t xml:space="preserve">Media penyimpanan (storage media)</t>
  </si>
  <si>
    <t xml:space="preserve">Mengelola media penyimpanan sepanjang siklus hidupnya (akuisisi hingga disposal).</t>
  </si>
  <si>
    <t xml:space="preserve">A.7.11</t>
  </si>
  <si>
    <t xml:space="preserve">Utilitas pendukung</t>
  </si>
  <si>
    <t xml:space="preserve">Melindungi peralatan dari kegagalan utilitas pendukung (listrik, dll).</t>
  </si>
  <si>
    <t xml:space="preserve">A.7.12</t>
  </si>
  <si>
    <t xml:space="preserve">Keamanan pengkabelan (cabling)</t>
  </si>
  <si>
    <t xml:space="preserve">Melindungi kabel daya dan data dari intersepsi, gangguan, atau kerusakan.</t>
  </si>
  <si>
    <t xml:space="preserve">A.7.13</t>
  </si>
  <si>
    <t xml:space="preserve">Pemeliharaan peralatan</t>
  </si>
  <si>
    <t xml:space="preserve">Memelihara peralatan secara benar untuk menjaga ketersediaan dan integritas.</t>
  </si>
  <si>
    <t xml:space="preserve">A.7.14</t>
  </si>
  <si>
    <t xml:space="preserve">Pembuangan atau penggunaan ulang peralatan yang aman</t>
  </si>
  <si>
    <t xml:space="preserve">Memverifikasi penghapusan data/lisensi sebelum disposal atau reuse peralatan.</t>
  </si>
  <si>
    <t xml:space="preserve">A.8.1</t>
  </si>
  <si>
    <t xml:space="preserve">Endpoint</t>
  </si>
  <si>
    <t xml:space="preserve">Perangkat endpoint pengguna</t>
  </si>
  <si>
    <t xml:space="preserve">Melindungi informasi pada perangkat endpoint pengguna.</t>
  </si>
  <si>
    <t xml:space="preserve">A.8.2</t>
  </si>
  <si>
    <t xml:space="preserve">Hak akses istimewa (privileged access)</t>
  </si>
  <si>
    <t xml:space="preserve">Membatasi dan mengelola alokasi hak akses istimewa.</t>
  </si>
  <si>
    <t xml:space="preserve">A.8.3</t>
  </si>
  <si>
    <t xml:space="preserve">Pembatasan akses informasi</t>
  </si>
  <si>
    <t xml:space="preserve">Membatasi akses ke informasi dan fungsi aplikasi sesuai kebijakan kontrol akses.</t>
  </si>
  <si>
    <t xml:space="preserve">A.8.4</t>
  </si>
  <si>
    <t xml:space="preserve">Akses ke source code</t>
  </si>
  <si>
    <t xml:space="preserve">Mengelola akses baca/tulis terhadap source code, tools pengembangan, dan pustaka.</t>
  </si>
  <si>
    <t xml:space="preserve">A.8.5</t>
  </si>
  <si>
    <t xml:space="preserve">Autentikasi aman (secure authentication)</t>
  </si>
  <si>
    <t xml:space="preserve">Menerapkan teknologi dan prosedur autentikasi yang aman sesuai kebijakan akses.</t>
  </si>
  <si>
    <t xml:space="preserve">A.8.6</t>
  </si>
  <si>
    <t xml:space="preserve">Manajemen kapasitas</t>
  </si>
  <si>
    <t xml:space="preserve">Memantau dan menyesuaikan penggunaan sumber daya sesuai kebutuhan kapasitas.</t>
  </si>
  <si>
    <t xml:space="preserve">A.8.7</t>
  </si>
  <si>
    <t xml:space="preserve">Proteksi terhadap malware</t>
  </si>
  <si>
    <t xml:space="preserve">Menerapkan proteksi malware dengan didukung kesadaran pengguna.</t>
  </si>
  <si>
    <t xml:space="preserve">A.8.8</t>
  </si>
  <si>
    <t xml:space="preserve">Manajemen kerentanan teknis</t>
  </si>
  <si>
    <t xml:space="preserve">Memperoleh informasi kerentanan teknis dan mengevaluasi eksposur organisasi.</t>
  </si>
  <si>
    <t xml:space="preserve">A.8.9</t>
  </si>
  <si>
    <t xml:space="preserve">Manajemen konfigurasi</t>
  </si>
  <si>
    <t xml:space="preserve">Menetapkan, mendokumentasikan, dan memantau konfigurasi keamanan sistem.</t>
  </si>
  <si>
    <t xml:space="preserve">A.8.10</t>
  </si>
  <si>
    <t xml:space="preserve">Penghapusan informasi</t>
  </si>
  <si>
    <t xml:space="preserve">Menghapus informasi pada sistem/perangkat saat tidak lagi diperlukan.</t>
  </si>
  <si>
    <t xml:space="preserve">A.8.11</t>
  </si>
  <si>
    <t xml:space="preserve">Penyamaran data (data masking)</t>
  </si>
  <si>
    <t xml:space="preserve">Menggunakan data masking sesuai kebijakan kontrol akses dan kebutuhan bisnis.</t>
  </si>
  <si>
    <t xml:space="preserve">A.8.12</t>
  </si>
  <si>
    <t xml:space="preserve">Pencegahan kebocoran data (DLP)</t>
  </si>
  <si>
    <t xml:space="preserve">Menerapkan langkah pencegahan kebocoran data pada sistem dan jaringan.</t>
  </si>
  <si>
    <t xml:space="preserve">A.8.13</t>
  </si>
  <si>
    <t xml:space="preserve">Backup informasi</t>
  </si>
  <si>
    <t xml:space="preserve">Memelihara dan menguji salinan cadangan informasi, perangkat lunak, dan sistem.</t>
  </si>
  <si>
    <t xml:space="preserve">A.8.14</t>
  </si>
  <si>
    <t xml:space="preserve">Redundansi fasilitas pemrosesan informasi</t>
  </si>
  <si>
    <t xml:space="preserve">Menerapkan redundansi yang memadai untuk memenuhi persyaratan ketersediaan.</t>
  </si>
  <si>
    <t xml:space="preserve">A.8.15</t>
  </si>
  <si>
    <t xml:space="preserve">Logging</t>
  </si>
  <si>
    <t xml:space="preserve">Menghasilkan, menyimpan, melindungi, dan menganalisis log peristiwa.</t>
  </si>
  <si>
    <t xml:space="preserve">A.8.16</t>
  </si>
  <si>
    <t xml:space="preserve">Aktivitas pemantauan (monitoring)</t>
  </si>
  <si>
    <t xml:space="preserve">Memantau jaringan, sistem, dan aplikasi untuk mendeteksi perilaku anomali.</t>
  </si>
  <si>
    <t xml:space="preserve">A.8.17</t>
  </si>
  <si>
    <t xml:space="preserve">Sinkronisasi waktu (clock synchronization)</t>
  </si>
  <si>
    <t xml:space="preserve">Menyinkronkan jam sistem pemrosesan informasi ke sumber waktu yang disetujui.</t>
  </si>
  <si>
    <t xml:space="preserve">A.8.18</t>
  </si>
  <si>
    <t xml:space="preserve">Penggunaan program utilitas istimewa</t>
  </si>
  <si>
    <t xml:space="preserve">Membatasi dan mengontrol penggunaan program utilitas yang dapat menimpa kontrol.</t>
  </si>
  <si>
    <t xml:space="preserve">A.8.19</t>
  </si>
  <si>
    <t xml:space="preserve">Instalasi perangkat lunak pada sistem operasional</t>
  </si>
  <si>
    <t xml:space="preserve">Mengelola prosedur instalasi perangkat lunak pada sistem operasional secara aman.</t>
  </si>
  <si>
    <t xml:space="preserve">A.8.20</t>
  </si>
  <si>
    <t xml:space="preserve">Jaringan</t>
  </si>
  <si>
    <t xml:space="preserve">Keamanan jaringan</t>
  </si>
  <si>
    <t xml:space="preserve">Mengelola dan mengontrol keamanan jaringan serta perangkat jaringan.</t>
  </si>
  <si>
    <t xml:space="preserve">A.8.21</t>
  </si>
  <si>
    <t xml:space="preserve">Keamanan layanan jaringan</t>
  </si>
  <si>
    <t xml:space="preserve">Mengidentifikasi, menerapkan, dan memantau mekanisme keamanan layanan jaringan.</t>
  </si>
  <si>
    <t xml:space="preserve">A.8.22</t>
  </si>
  <si>
    <t xml:space="preserve">Segregasi jaringan (network segregation)</t>
  </si>
  <si>
    <t xml:space="preserve">Memisahkan kelompok layanan informasi, pengguna, dan sistem informasi dalam jaringan.</t>
  </si>
  <si>
    <t xml:space="preserve">A.8.23</t>
  </si>
  <si>
    <t xml:space="preserve">Web filtering</t>
  </si>
  <si>
    <t xml:space="preserve">Mengelola akses ke situs eksternal untuk mengurangi paparan konten berbahaya.</t>
  </si>
  <si>
    <t xml:space="preserve">A.8.24</t>
  </si>
  <si>
    <t xml:space="preserve">Kriptografi</t>
  </si>
  <si>
    <t xml:space="preserve">Penggunaan kriptografi</t>
  </si>
  <si>
    <t xml:space="preserve">Mendefinisikan dan menerapkan aturan penggunaan kriptografi secara efektif.</t>
  </si>
  <si>
    <t xml:space="preserve">A.8.25</t>
  </si>
  <si>
    <t xml:space="preserve">Pengembangan Aman</t>
  </si>
  <si>
    <t xml:space="preserve">Siklus pengembangan aman (secure SDLC)</t>
  </si>
  <si>
    <t xml:space="preserve">Menetapkan dan menerapkan aturan pengembangan perangkat lunak dan sistem yang aman.</t>
  </si>
  <si>
    <t xml:space="preserve">A.8.26</t>
  </si>
  <si>
    <t xml:space="preserve">Persyaratan keamanan aplikasi</t>
  </si>
  <si>
    <t xml:space="preserve">Mengidentifikasi dan menyetujui persyaratan keamanan informasi saat mengembangkan aplikasi.</t>
  </si>
  <si>
    <t xml:space="preserve">A.8.27</t>
  </si>
  <si>
    <t xml:space="preserve">Prinsip arsitektur dan rekayasa sistem aman</t>
  </si>
  <si>
    <t xml:space="preserve">Menetapkan, mendokumentasikan, dan menerapkan prinsip rekayasa sistem yang aman.</t>
  </si>
  <si>
    <t xml:space="preserve">A.8.28</t>
  </si>
  <si>
    <t xml:space="preserve">Secure coding</t>
  </si>
  <si>
    <t xml:space="preserve">Menerapkan prinsip secure coding pada pengembangan perangkat lunak.</t>
  </si>
  <si>
    <t xml:space="preserve">A.8.29</t>
  </si>
  <si>
    <t xml:space="preserve">Pengujian keamanan dalam pengembangan dan penerimaan</t>
  </si>
  <si>
    <t xml:space="preserve">Menentukan dan menerapkan proses pengujian keamanan dalam siklus pengembangan.</t>
  </si>
  <si>
    <t xml:space="preserve">A.8.30</t>
  </si>
  <si>
    <t xml:space="preserve">Pengembangan yang dialihdayakan (outsourced)</t>
  </si>
  <si>
    <t xml:space="preserve">Mengarahkan, memantau, dan meninjau aktivitas pengembangan sistem yang dialihdayakan.</t>
  </si>
  <si>
    <t xml:space="preserve">A.8.31</t>
  </si>
  <si>
    <t xml:space="preserve">Pemisahan lingkungan dev, test dan produksi</t>
  </si>
  <si>
    <t xml:space="preserve">Memisahkan dan mengamankan lingkungan pengembangan, pengujian, dan produksi.</t>
  </si>
  <si>
    <t xml:space="preserve">A.8.32</t>
  </si>
  <si>
    <t xml:space="preserve">Manajemen perubahan (change management)</t>
  </si>
  <si>
    <t xml:space="preserve">Menerapkan prosedur manajemen perubahan pada fasilitas pemrosesan informasi.</t>
  </si>
  <si>
    <t xml:space="preserve">A.8.33</t>
  </si>
  <si>
    <t xml:space="preserve">Informasi pengujian (test information)</t>
  </si>
  <si>
    <t xml:space="preserve">Memilih, melindungi, dan mengelola informasi uji secara tepat.</t>
  </si>
  <si>
    <t xml:space="preserve">A.8.34</t>
  </si>
  <si>
    <t xml:space="preserve">Audit</t>
  </si>
  <si>
    <t xml:space="preserve">Perlindungan sistem informasi selama pengujian audit</t>
  </si>
  <si>
    <t xml:space="preserve">Merencanakan dan menyepakati pengujian audit untuk meminimalkan gangguan operasional.</t>
  </si>
  <si>
    <t xml:space="preserve">Manajemen Kontrol — ISO/IEC 27701:2025 — Annex A.1 PII Controller (31 Kontrol)</t>
  </si>
  <si>
    <t xml:space="preserve">A.1.2.2</t>
  </si>
  <si>
    <t xml:space="preserve">PII Controller</t>
  </si>
  <si>
    <t xml:space="preserve">Kondisi Pengumpulan &amp; Pemrosesan</t>
  </si>
  <si>
    <t xml:space="preserve">Identifikasi dan dokumentasi tujuan pemrosesan</t>
  </si>
  <si>
    <t xml:space="preserve">Mengidentifikasi dan mendokumentasikan tujuan pemrosesan PII.</t>
  </si>
  <si>
    <t xml:space="preserve">A.1.2.3</t>
  </si>
  <si>
    <t xml:space="preserve">Identifikasi dasar hukum (lawful basis)</t>
  </si>
  <si>
    <t xml:space="preserve">Mengidentifikasi dan mendokumentasikan dasar hukum pemrosesan PII.</t>
  </si>
  <si>
    <t xml:space="preserve">A.1.2.4</t>
  </si>
  <si>
    <t xml:space="preserve">Penentuan kapan &amp; bagaimana persetujuan diperoleh</t>
  </si>
  <si>
    <t xml:space="preserve">Menentukan kapan dan bagaimana consent perlu diperoleh dari PII principal.</t>
  </si>
  <si>
    <t xml:space="preserve">A.1.2.5</t>
  </si>
  <si>
    <t xml:space="preserve">Perolehan dan pencatatan persetujuan (consent)</t>
  </si>
  <si>
    <t xml:space="preserve">Memperoleh dan mencatat persetujuan PII principal sesuai kebutuhan.</t>
  </si>
  <si>
    <t xml:space="preserve">A.1.2.6</t>
  </si>
  <si>
    <t xml:space="preserve">Penilaian dampak privasi (PIA)</t>
  </si>
  <si>
    <t xml:space="preserve">Melakukan Privacy Impact Assessment atas pemrosesan PII berisiko.</t>
  </si>
  <si>
    <t xml:space="preserve">A.1.2.7</t>
  </si>
  <si>
    <t xml:space="preserve">Kontrak dengan PII processor</t>
  </si>
  <si>
    <t xml:space="preserve">Menetapkan klausul perlindungan PII dalam kontrak dengan PII processor.</t>
  </si>
  <si>
    <t xml:space="preserve">A.1.2.8</t>
  </si>
  <si>
    <t xml:space="preserve">Pengaturan joint PII controller</t>
  </si>
  <si>
    <t xml:space="preserve">Menetapkan tanggung jawab yang jelas antar joint controller.</t>
  </si>
  <si>
    <t xml:space="preserve">A.1.2.9</t>
  </si>
  <si>
    <t xml:space="preserve">Catatan pemrosesan PII (records of processing)</t>
  </si>
  <si>
    <t xml:space="preserve">Memelihara catatan aktivitas pemrosesan PII sebagai controller.</t>
  </si>
  <si>
    <t xml:space="preserve">A.1.3.2</t>
  </si>
  <si>
    <t xml:space="preserve">Kewajiban ke PII Principal</t>
  </si>
  <si>
    <t xml:space="preserve">Transparansi kewajiban ke PII principal</t>
  </si>
  <si>
    <t xml:space="preserve">Menentukan dan memenuhi kewajiban transparansi kepada PII principal.</t>
  </si>
  <si>
    <t xml:space="preserve">A.1.3.3</t>
  </si>
  <si>
    <t xml:space="preserve">Penyediaan informasi kepada PII principal</t>
  </si>
  <si>
    <t xml:space="preserve">Menyediakan informasi pemrosesan PII yang jelas kepada PII principal.</t>
  </si>
  <si>
    <t xml:space="preserve">A.1.3.4</t>
  </si>
  <si>
    <t xml:space="preserve">Mekanisme modifikasi/penarikan persetujuan</t>
  </si>
  <si>
    <t xml:space="preserve">Menyediakan mekanisme bagi PII principal untuk mengubah/menarik consent.</t>
  </si>
  <si>
    <t xml:space="preserve">A.1.3.5</t>
  </si>
  <si>
    <t xml:space="preserve">Mekanisme keberatan (objection) atas pemrosesan</t>
  </si>
  <si>
    <t xml:space="preserve">Menyediakan mekanisme bagi PII principal untuk mengajukan keberatan.</t>
  </si>
  <si>
    <t xml:space="preserve">A.1.3.6</t>
  </si>
  <si>
    <t xml:space="preserve">Pengambilan keputusan otomatis (automated decision)</t>
  </si>
  <si>
    <t xml:space="preserve">Mengelola kontrol atas keputusan otomatis yang berdampak pada PII principal.</t>
  </si>
  <si>
    <t xml:space="preserve">A.1.3.7</t>
  </si>
  <si>
    <t xml:space="preserve">Akses, koreksi, atau penghapusan data</t>
  </si>
  <si>
    <t xml:space="preserve">Menyediakan mekanisme akses, koreksi, atau penghapusan PII bagi principal.</t>
  </si>
  <si>
    <t xml:space="preserve">A.1.3.8</t>
  </si>
  <si>
    <t xml:space="preserve">Notifikasi ke pihak ketiga atas perubahan/hapus</t>
  </si>
  <si>
    <t xml:space="preserve">Menginformasikan pihak ketiga terkait perubahan/penghapusan PII bila relevan.</t>
  </si>
  <si>
    <t xml:space="preserve">A.1.3.9</t>
  </si>
  <si>
    <t xml:space="preserve">Penyediaan salinan PII yang diproses</t>
  </si>
  <si>
    <t xml:space="preserve">Menyediakan salinan PII yang diproses kepada PII principal atas permintaan.</t>
  </si>
  <si>
    <t xml:space="preserve">A.1.3.10</t>
  </si>
  <si>
    <t xml:space="preserve">Penanganan permintaan PII principal</t>
  </si>
  <si>
    <t xml:space="preserve">Menetapkan prosedur penanganan permintaan dari PII principal.</t>
  </si>
  <si>
    <t xml:space="preserve">A.1.3.11</t>
  </si>
  <si>
    <t xml:space="preserve">Penanganan keluhan (complaint handling)</t>
  </si>
  <si>
    <t xml:space="preserve">Menyediakan mekanisme penanganan keluhan terkait pemrosesan PII.</t>
  </si>
  <si>
    <t xml:space="preserve">A.1.4.2</t>
  </si>
  <si>
    <t xml:space="preserve">Privacy by Design &amp; Default</t>
  </si>
  <si>
    <t xml:space="preserve">Pembatasan pengumpulan (collection limitation)</t>
  </si>
  <si>
    <t xml:space="preserve">Membatasi pengumpulan PII sesuai tujuan yang telah diidentifikasi.</t>
  </si>
  <si>
    <t xml:space="preserve">A.1.4.3</t>
  </si>
  <si>
    <t xml:space="preserve">Pembatasan pemrosesan (processing limitation)</t>
  </si>
  <si>
    <t xml:space="preserve">Membatasi pemrosesan PII sesuai tujuan dan dasar hukum yang sah.</t>
  </si>
  <si>
    <t xml:space="preserve">A.1.4.4</t>
  </si>
  <si>
    <t xml:space="preserve">Akurasi dan kualitas data</t>
  </si>
  <si>
    <t xml:space="preserve">Menjaga akurasi dan kualitas PII yang diproses.</t>
  </si>
  <si>
    <t xml:space="preserve">A.1.4.5</t>
  </si>
  <si>
    <t xml:space="preserve">Tujuan minimisasi PII</t>
  </si>
  <si>
    <t xml:space="preserve">Menerapkan prinsip minimisasi PII pada seluruh pemrosesan.</t>
  </si>
  <si>
    <t xml:space="preserve">A.1.4.6</t>
  </si>
  <si>
    <t xml:space="preserve">De-identifikasi dan penghapusan di akhir pemrosesan</t>
  </si>
  <si>
    <t xml:space="preserve">Melakukan de-identifikasi/penghapusan PII saat tujuan pemrosesan selesai.</t>
  </si>
  <si>
    <t xml:space="preserve">A.1.4.7</t>
  </si>
  <si>
    <t xml:space="preserve">Pengelolaan file sementara (temporary files)</t>
  </si>
  <si>
    <t xml:space="preserve">Mengelola dan menghapus file sementara yang berisi PII.</t>
  </si>
  <si>
    <t xml:space="preserve">A.1.4.8</t>
  </si>
  <si>
    <t xml:space="preserve">Retensi PII</t>
  </si>
  <si>
    <t xml:space="preserve">Menetapkan dan menerapkan periode retensi PII.</t>
  </si>
  <si>
    <t xml:space="preserve">A.1.4.9</t>
  </si>
  <si>
    <t xml:space="preserve">Disposal/penghapusan PII</t>
  </si>
  <si>
    <t xml:space="preserve">Menghapus atau memusnahkan PII secara aman sesuai kebijakan retensi.</t>
  </si>
  <si>
    <t xml:space="preserve">A.1.4.10</t>
  </si>
  <si>
    <t xml:space="preserve">Kontrol transmisi PII</t>
  </si>
  <si>
    <t xml:space="preserve">Melindungi PII selama proses transmisi/pengiriman data.</t>
  </si>
  <si>
    <t xml:space="preserve">A.1.5.2</t>
  </si>
  <si>
    <t xml:space="preserve">Sharing, Transfer &amp; Disclosure</t>
  </si>
  <si>
    <t xml:space="preserve">Dasar transfer PII lintas yurisdiksi</t>
  </si>
  <si>
    <t xml:space="preserve">Mengidentifikasi dasar hukum untuk transfer PII antar yurisdiksi.</t>
  </si>
  <si>
    <t xml:space="preserve">A.1.5.3</t>
  </si>
  <si>
    <t xml:space="preserve">Negara/organisasi tujuan transfer PII</t>
  </si>
  <si>
    <t xml:space="preserve">Mendokumentasikan negara/organisasi internasional tujuan transfer PII.</t>
  </si>
  <si>
    <t xml:space="preserve">A.1.5.4</t>
  </si>
  <si>
    <t xml:space="preserve">Catatan transfer PII</t>
  </si>
  <si>
    <t xml:space="preserve">Memelihara catatan transfer PII lintas batas.</t>
  </si>
  <si>
    <t xml:space="preserve">A.1.5.5</t>
  </si>
  <si>
    <t xml:space="preserve">Catatan pengungkapan (disclosure) PII ke pihak ketiga</t>
  </si>
  <si>
    <t xml:space="preserve">Memelihara catatan pengungkapan PII kepada pihak ketiga.</t>
  </si>
  <si>
    <t xml:space="preserve">Manajemen Kontrol — ISO/IEC 27701:2025 — Annex A.2 PII Processor (18 Kontrol)</t>
  </si>
  <si>
    <t xml:space="preserve">A.2.2.2</t>
  </si>
  <si>
    <t xml:space="preserve">PII Processor</t>
  </si>
  <si>
    <t xml:space="preserve">Perjanjian dengan pelanggan (customer agreement)</t>
  </si>
  <si>
    <t xml:space="preserve">Menetapkan perjanjian pemrosesan PII dengan pelanggan/PII controller.</t>
  </si>
  <si>
    <t xml:space="preserve">A.2.2.3</t>
  </si>
  <si>
    <t xml:space="preserve">Pemrosesan sesuai tujuan organisasi</t>
  </si>
  <si>
    <t xml:space="preserve">Memproses PII hanya sesuai instruksi dan tujuan yang disepakati controller.</t>
  </si>
  <si>
    <t xml:space="preserve">A.2.2.4</t>
  </si>
  <si>
    <t xml:space="preserve">Pembatasan pemasaran dan iklan</t>
  </si>
  <si>
    <t xml:space="preserve">Membatasi penggunaan PII untuk keperluan pemasaran/iklan tanpa otorisasi.</t>
  </si>
  <si>
    <t xml:space="preserve">A.2.2.5</t>
  </si>
  <si>
    <t xml:space="preserve">Instruksi yang melanggar (infringing instruction)</t>
  </si>
  <si>
    <t xml:space="preserve">Menginformasikan controller bila instruksi pemrosesan melanggar ketentuan.</t>
  </si>
  <si>
    <t xml:space="preserve">A.2.2.6</t>
  </si>
  <si>
    <t xml:space="preserve">Kewajiban kepada pelanggan (customer obligations)</t>
  </si>
  <si>
    <t xml:space="preserve">Memenuhi kewajiban kontraktual kepada pelanggan terkait pemrosesan PII.</t>
  </si>
  <si>
    <t xml:space="preserve">A.2.2.7</t>
  </si>
  <si>
    <t xml:space="preserve">Catatan terkait pemrosesan PII</t>
  </si>
  <si>
    <t xml:space="preserve">Memelihara catatan aktivitas pemrosesan PII sebagai processor.</t>
  </si>
  <si>
    <t xml:space="preserve">A.2.3.2</t>
  </si>
  <si>
    <t xml:space="preserve">Dukungan kewajiban ke PII principal</t>
  </si>
  <si>
    <t xml:space="preserve">Membantu controller memenuhi permintaan/hak PII principal.</t>
  </si>
  <si>
    <t xml:space="preserve">A.2.4.2</t>
  </si>
  <si>
    <t xml:space="preserve">A.2.4.3</t>
  </si>
  <si>
    <t xml:space="preserve">Pengembalian, transfer atau disposal PII</t>
  </si>
  <si>
    <t xml:space="preserve">Mengembalikan, mentransfer, atau memusnahkan PII di akhir layanan.</t>
  </si>
  <si>
    <t xml:space="preserve">A.2.4.4</t>
  </si>
  <si>
    <t xml:space="preserve">A.2.5.2</t>
  </si>
  <si>
    <t xml:space="preserve">A.2.5.3</t>
  </si>
  <si>
    <t xml:space="preserve">A.2.5.4</t>
  </si>
  <si>
    <t xml:space="preserve">Catatan pengungkapan PII ke pihak ketiga</t>
  </si>
  <si>
    <t xml:space="preserve">A.2.5.5</t>
  </si>
  <si>
    <t xml:space="preserve">Notifikasi permintaan pengungkapan PII</t>
  </si>
  <si>
    <t xml:space="preserve">Menginformasikan controller atas permintaan pengungkapan PII dari otoritas.</t>
  </si>
  <si>
    <t xml:space="preserve">A.2.5.6</t>
  </si>
  <si>
    <t xml:space="preserve">Pengungkapan PII yang mengikat secara hukum</t>
  </si>
  <si>
    <t xml:space="preserve">Menangani pengungkapan PII yang diwajibkan secara hukum secara terkendali.</t>
  </si>
  <si>
    <t xml:space="preserve">A.2.5.7</t>
  </si>
  <si>
    <t xml:space="preserve">Pengungkapan penggunaan subkontraktor</t>
  </si>
  <si>
    <t xml:space="preserve">Menginformasikan controller mengenai penggunaan subkontraktor pemrosesan PII.</t>
  </si>
  <si>
    <t xml:space="preserve">A.2.5.8</t>
  </si>
  <si>
    <t xml:space="preserve">Keterlibatan subkontraktor pemrosesan PII</t>
  </si>
  <si>
    <t xml:space="preserve">Melibatkan subkontraktor pemrosesan PII sesuai persyaratan kontraktual.</t>
  </si>
  <si>
    <t xml:space="preserve">A.2.5.9</t>
  </si>
  <si>
    <t xml:space="preserve">Perubahan subkontraktor pemrosesan PII</t>
  </si>
  <si>
    <t xml:space="preserve">Mengelola dan menotifikasi perubahan subkontraktor pemrosesan PII.</t>
  </si>
  <si>
    <t xml:space="preserve">Manajemen Kontrol — ISO/IEC 27701:2025 — Annex A.3 Shared Security Controls (29 Kontrol)</t>
  </si>
  <si>
    <t xml:space="preserve">A.3.3</t>
  </si>
  <si>
    <t xml:space="preserve">Shared (Controller &amp; Processor)</t>
  </si>
  <si>
    <t xml:space="preserve">Keamanan Informasi Umum</t>
  </si>
  <si>
    <t xml:space="preserve">Menetapkan, menyetujui, dan mengomunikasikan kebijakan keamanan informasi terkait PII.</t>
  </si>
  <si>
    <t xml:space="preserve">A.3.4</t>
  </si>
  <si>
    <t xml:space="preserve">Peran dan tanggung jawab</t>
  </si>
  <si>
    <t xml:space="preserve">Mendefinisikan peran dan tanggung jawab keamanan informasi terkait PII.</t>
  </si>
  <si>
    <t xml:space="preserve">A.3.5</t>
  </si>
  <si>
    <t xml:space="preserve">Menjaga kontak dengan otoritas terkait perlindungan data.</t>
  </si>
  <si>
    <t xml:space="preserve">A.3.6</t>
  </si>
  <si>
    <t xml:space="preserve">Intelijen ancaman</t>
  </si>
  <si>
    <t xml:space="preserve">Mengumpulkan dan menganalisis informasi ancaman relevan terhadap PII.</t>
  </si>
  <si>
    <t xml:space="preserve">A.3.7</t>
  </si>
  <si>
    <t xml:space="preserve">Melakukan pemeriksaan latar belakang personel yang mengakses PII.</t>
  </si>
  <si>
    <t xml:space="preserve">A.3.8</t>
  </si>
  <si>
    <t xml:space="preserve">Kesadaran, edukasi dan pelatihan</t>
  </si>
  <si>
    <t xml:space="preserve">Memberikan pelatihan privasi dan keamanan informasi secara berkala.</t>
  </si>
  <si>
    <t xml:space="preserve">A.3.9</t>
  </si>
  <si>
    <t xml:space="preserve">Menetapkan proses disipliner atas pelanggaran terkait perlindungan PII.</t>
  </si>
  <si>
    <t xml:space="preserve">A.3.10</t>
  </si>
  <si>
    <t xml:space="preserve">Menerapkan langkah keamanan PII saat bekerja dari lokasi jarak jauh.</t>
  </si>
  <si>
    <t xml:space="preserve">A.3.11</t>
  </si>
  <si>
    <t xml:space="preserve">Menyediakan mekanisme pelaporan kejadian yang berdampak pada PII.</t>
  </si>
  <si>
    <t xml:space="preserve">A.3.12</t>
  </si>
  <si>
    <t xml:space="preserve">Inventaris aset informasi</t>
  </si>
  <si>
    <t xml:space="preserve">Menyusun dan memelihara inventaris aset yang memproses/menyimpan PII.</t>
  </si>
  <si>
    <t xml:space="preserve">A.3.13</t>
  </si>
  <si>
    <t xml:space="preserve">Penggunaan aset yang dapat diterima</t>
  </si>
  <si>
    <t xml:space="preserve">Menetapkan aturan penggunaan aset yang memproses PII.</t>
  </si>
  <si>
    <t xml:space="preserve">A.3.14</t>
  </si>
  <si>
    <t xml:space="preserve">Mengklasifikasikan informasi termasuk PII berdasarkan sensitivitasnya.</t>
  </si>
  <si>
    <t xml:space="preserve">A.3.15</t>
  </si>
  <si>
    <t xml:space="preserve">Menetapkan aturan kontrol akses terhadap sistem yang memproses PII.</t>
  </si>
  <si>
    <t xml:space="preserve">A.3.16</t>
  </si>
  <si>
    <t xml:space="preserve">Mengelola siklus hidup identitas pengguna yang mengakses PII.</t>
  </si>
  <si>
    <t xml:space="preserve">A.3.17</t>
  </si>
  <si>
    <t xml:space="preserve">Mengelola informasi autentikasi secara aman.</t>
  </si>
  <si>
    <t xml:space="preserve">A.3.18</t>
  </si>
  <si>
    <t xml:space="preserve">Manajemen hak akses</t>
  </si>
  <si>
    <t xml:space="preserve">Menyediakan, meninjau, dan mencabut hak akses ke sistem PII.</t>
  </si>
  <si>
    <t xml:space="preserve">A.3.19</t>
  </si>
  <si>
    <t xml:space="preserve">Pemasok</t>
  </si>
  <si>
    <t xml:space="preserve">Mengelola risiko keamanan informasi terkait pemasok yang mengakses PII.</t>
  </si>
  <si>
    <t xml:space="preserve">A.3.20</t>
  </si>
  <si>
    <t xml:space="preserve">Keamanan layanan cloud</t>
  </si>
  <si>
    <t xml:space="preserve">Mengelola keamanan penggunaan layanan cloud untuk pemrosesan PII.</t>
  </si>
  <si>
    <t xml:space="preserve">A.3.21</t>
  </si>
  <si>
    <t xml:space="preserve">Perencanaan manajemen insiden</t>
  </si>
  <si>
    <t xml:space="preserve">Merencanakan dan menyiapkan proses manajemen insiden terkait PII.</t>
  </si>
  <si>
    <t xml:space="preserve">A.3.22</t>
  </si>
  <si>
    <t xml:space="preserve">Menanggapi insiden yang berdampak pada PII sesuai prosedur.</t>
  </si>
  <si>
    <t xml:space="preserve">A.3.23</t>
  </si>
  <si>
    <t xml:space="preserve">Merencanakan kesiapan ICT untuk menjaga ketersediaan layanan pemrosesan PII.</t>
  </si>
  <si>
    <t xml:space="preserve">A.3.24</t>
  </si>
  <si>
    <t xml:space="preserve">Persyaratan hukum dan regulasi</t>
  </si>
  <si>
    <t xml:space="preserve">Mengidentifikasi dan memenuhi persyaratan hukum/regulasi privasi terkait.</t>
  </si>
  <si>
    <t xml:space="preserve">A.3.25</t>
  </si>
  <si>
    <t xml:space="preserve">Melindungi catatan yang memuat PII dari kehilangan atau akses tidak sah.</t>
  </si>
  <si>
    <t xml:space="preserve">A.3.26</t>
  </si>
  <si>
    <t xml:space="preserve">Meninjau kepatuhan keamanan informasi terkait PII secara independen.</t>
  </si>
  <si>
    <t xml:space="preserve">A.3.27</t>
  </si>
  <si>
    <t xml:space="preserve">Pemantauan kepatuhan</t>
  </si>
  <si>
    <t xml:space="preserve">Memantau kepatuhan operasional terhadap kebijakan perlindungan PII.</t>
  </si>
  <si>
    <t xml:space="preserve">A.3.28</t>
  </si>
  <si>
    <t xml:space="preserve">Menerapkan kriptografi untuk melindungi PII sesuai kebijakan.</t>
  </si>
  <si>
    <t xml:space="preserve">A.3.29</t>
  </si>
  <si>
    <t xml:space="preserve">Menerapkan praktik pengembangan aman pada sistem yang memproses PII.</t>
  </si>
  <si>
    <t xml:space="preserve">A.3.30</t>
  </si>
  <si>
    <t xml:space="preserve">Manajemen perubahan</t>
  </si>
  <si>
    <t xml:space="preserve">Menerapkan prosedur manajemen perubahan pada sistem pemrosesan PII.</t>
  </si>
  <si>
    <t xml:space="preserve">A.3.31</t>
  </si>
  <si>
    <t xml:space="preserve">Logging dan monitoring</t>
  </si>
  <si>
    <t xml:space="preserve">Menghasilkan dan memantau log aktivitas pada sistem yang memproses PII.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</si>
</sst>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General"/>
    <numFmt numFmtId="167" formatCode="0%"/>
    <numFmt numFmtId="168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CE6F1"/>
        <bgColor rgb="FFD9EAD3"/>
      </patternFill>
    </fill>
    <fill>
      <patternFill patternType="solid">
        <fgColor rgb="FFF4CCCC"/>
        <bgColor rgb="FFD9D9D9"/>
      </patternFill>
    </fill>
    <fill>
      <patternFill patternType="solid">
        <fgColor rgb="FFFCE5CD"/>
        <bgColor rgb="FFEFEFEF"/>
      </patternFill>
    </fill>
    <fill>
      <patternFill patternType="solid">
        <fgColor rgb="FFD9EAD3"/>
        <bgColor rgb="FFDCE6F1"/>
      </patternFill>
    </fill>
    <fill>
      <patternFill patternType="solid">
        <fgColor rgb="FFEFEFEF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EFEFEF"/>
      </patternFill>
    </fill>
    <fill>
      <patternFill patternType="solid">
        <fgColor rgb="FFFFF9E5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EFEFEF"/>
        </patternFill>
      </fill>
    </dxf>
    <dxf>
      <font>
        <name val="Calibri"/>
        <charset val="1"/>
        <family val="2"/>
        <color rgb="FF000000"/>
        <sz val="11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9E5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5CD"/>
      <rgbColor rgb="FFF2F2F2"/>
      <rgbColor rgb="FFF9F9F9"/>
      <rgbColor rgb="FFCC99FF"/>
      <rgbColor rgb="FFF4CCCC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 Implementasi per Standar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Dashboard!I5</c:f>
              <c:strCache>
                <c:ptCount val="1"/>
                <c:pt idx="0">
                  <c:v>% Progres (dari yang berlaku)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Dashboard!$B$6:$B$9</c:f>
              <c:strCache>
                <c:ptCount val="4"/>
                <c:pt idx="0">
                  <c:v>ISO/IEC 27001:2022 (Annex A)</c:v>
                </c:pt>
                <c:pt idx="1">
                  <c:v>ISO/IEC 27701:2025 - A.1 Controller</c:v>
                </c:pt>
                <c:pt idx="2">
                  <c:v>ISO/IEC 27701:2025 - A.2 Processor</c:v>
                </c:pt>
                <c:pt idx="3">
                  <c:v>ISO/IEC 27701:2025 - A.3 Shared</c:v>
                </c:pt>
              </c:strCache>
            </c:strRef>
          </c:cat>
          <c:val>
            <c:numRef>
              <c:f>Dashboard!$I$6:$I$9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55994640"/>
        <c:axId val="69290831"/>
      </c:barChart>
      <c:catAx>
        <c:axId val="5599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90831"/>
        <c:crosses val="autoZero"/>
        <c:auto val="1"/>
        <c:lblAlgn val="ctr"/>
        <c:lblOffset val="100"/>
        <c:noMultiLvlLbl val="0"/>
      </c:catAx>
      <c:valAx>
        <c:axId val="69290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Progres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946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Distribusi Status Kontrol per Standar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Dashboard!E5</c:f>
              <c:strCache>
                <c:ptCount val="1"/>
                <c:pt idx="0">
                  <c:v>Diterapkan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Dashboard!$B$6:$B$9</c:f>
              <c:strCache>
                <c:ptCount val="4"/>
                <c:pt idx="0">
                  <c:v>ISO/IEC 27001:2022 (Annex A)</c:v>
                </c:pt>
                <c:pt idx="1">
                  <c:v>ISO/IEC 27701:2025 - A.1 Controller</c:v>
                </c:pt>
                <c:pt idx="2">
                  <c:v>ISO/IEC 27701:2025 - A.2 Processor</c:v>
                </c:pt>
                <c:pt idx="3">
                  <c:v>ISO/IEC 27701:2025 - A.3 Shared</c:v>
                </c:pt>
              </c:strCache>
            </c:strRef>
          </c:cat>
          <c:val>
            <c:numRef>
              <c:f>Dashboard!$E$6:$E$9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Dashboard!F5</c:f>
              <c:strCache>
                <c:ptCount val="1"/>
                <c:pt idx="0">
                  <c:v>Dalam Proses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Dashboard!$B$6:$B$9</c:f>
              <c:strCache>
                <c:ptCount val="4"/>
                <c:pt idx="0">
                  <c:v>ISO/IEC 27001:2022 (Annex A)</c:v>
                </c:pt>
                <c:pt idx="1">
                  <c:v>ISO/IEC 27701:2025 - A.1 Controller</c:v>
                </c:pt>
                <c:pt idx="2">
                  <c:v>ISO/IEC 27701:2025 - A.2 Processor</c:v>
                </c:pt>
                <c:pt idx="3">
                  <c:v>ISO/IEC 27701:2025 - A.3 Shared</c:v>
                </c:pt>
              </c:strCache>
            </c:strRef>
          </c:cat>
          <c:val>
            <c:numRef>
              <c:f>Dashboard!$F$6:$F$9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Dashboard!G5</c:f>
              <c:strCache>
                <c:ptCount val="1"/>
                <c:pt idx="0">
                  <c:v>Belum Dimulai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Dashboard!$B$6:$B$9</c:f>
              <c:strCache>
                <c:ptCount val="4"/>
                <c:pt idx="0">
                  <c:v>ISO/IEC 27001:2022 (Annex A)</c:v>
                </c:pt>
                <c:pt idx="1">
                  <c:v>ISO/IEC 27701:2025 - A.1 Controller</c:v>
                </c:pt>
                <c:pt idx="2">
                  <c:v>ISO/IEC 27701:2025 - A.2 Processor</c:v>
                </c:pt>
                <c:pt idx="3">
                  <c:v>ISO/IEC 27701:2025 - A.3 Shared</c:v>
                </c:pt>
              </c:strCache>
            </c:strRef>
          </c:cat>
          <c:val>
            <c:numRef>
              <c:f>Dashboard!$G$6:$G$9</c:f>
              <c:numCache>
                <c:formatCode>General</c:formatCode>
                <c:ptCount val="4"/>
                <c:pt idx="0">
                  <c:v>92</c:v>
                </c:pt>
                <c:pt idx="1">
                  <c:v>30</c:v>
                </c:pt>
                <c:pt idx="2">
                  <c:v>17</c:v>
                </c:pt>
                <c:pt idx="3">
                  <c:v>28</c:v>
                </c:pt>
              </c:numCache>
            </c:numRef>
          </c:val>
        </c:ser>
        <c:ser>
          <c:idx val="3"/>
          <c:order val="3"/>
          <c:tx>
            <c:strRef>
              <c:f>Dashboard!H5</c:f>
              <c:strCache>
                <c:ptCount val="1"/>
                <c:pt idx="0">
                  <c:v>Tidak Berlaku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Dashboard!$B$6:$B$9</c:f>
              <c:strCache>
                <c:ptCount val="4"/>
                <c:pt idx="0">
                  <c:v>ISO/IEC 27001:2022 (Annex A)</c:v>
                </c:pt>
                <c:pt idx="1">
                  <c:v>ISO/IEC 27701:2025 - A.1 Controller</c:v>
                </c:pt>
                <c:pt idx="2">
                  <c:v>ISO/IEC 27701:2025 - A.2 Processor</c:v>
                </c:pt>
                <c:pt idx="3">
                  <c:v>ISO/IEC 27701:2025 - A.3 Shared</c:v>
                </c:pt>
              </c:strCache>
            </c:strRef>
          </c:cat>
          <c:val>
            <c:numRef>
              <c:f>Dashboard!$H$6:$H$9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100"/>
        <c:axId val="52622704"/>
        <c:axId val="44540724"/>
      </c:barChart>
      <c:catAx>
        <c:axId val="5262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40724"/>
        <c:crosses val="autoZero"/>
        <c:auto val="1"/>
        <c:lblAlgn val="ctr"/>
        <c:lblOffset val="100"/>
        <c:noMultiLvlLbl val="0"/>
      </c:catAx>
      <c:valAx>
        <c:axId val="445407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227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 per Domain ISO/IEC 27001:2022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Dashboard!G53</c:f>
              <c:strCache>
                <c:ptCount val="1"/>
                <c:pt idx="0">
                  <c:v>% Progres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Dashboard!$B$54:$B$57</c:f>
              <c:strCache>
                <c:ptCount val="4"/>
                <c:pt idx="0">
                  <c:v>Organisasi</c:v>
                </c:pt>
                <c:pt idx="1">
                  <c:v>SDM</c:v>
                </c:pt>
                <c:pt idx="2">
                  <c:v>Fisik</c:v>
                </c:pt>
                <c:pt idx="3">
                  <c:v>Teknologi</c:v>
                </c:pt>
              </c:strCache>
            </c:strRef>
          </c:cat>
          <c:val>
            <c:numRef>
              <c:f>Dashboard!$G$54:$G$57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60772154"/>
        <c:axId val="35249379"/>
      </c:barChart>
      <c:catAx>
        <c:axId val="60772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49379"/>
        <c:crosses val="autoZero"/>
        <c:auto val="1"/>
        <c:lblAlgn val="ctr"/>
        <c:lblOffset val="100"/>
        <c:noMultiLvlLbl val="0"/>
      </c:catAx>
      <c:valAx>
        <c:axId val="352493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721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19080</xdr:rowOff>
    </xdr:from>
    <xdr:to>
      <xdr:col>6</xdr:col>
      <xdr:colOff>699840</xdr:colOff>
      <xdr:row>29</xdr:row>
      <xdr:rowOff>31680</xdr:rowOff>
    </xdr:to>
    <xdr:graphicFrame>
      <xdr:nvGraphicFramePr>
        <xdr:cNvPr id="0" name="Chart 1"/>
        <xdr:cNvGraphicFramePr/>
      </xdr:nvGraphicFramePr>
      <xdr:xfrm>
        <a:off x="211320" y="38862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31</xdr:row>
      <xdr:rowOff>9720</xdr:rowOff>
    </xdr:from>
    <xdr:to>
      <xdr:col>6</xdr:col>
      <xdr:colOff>699840</xdr:colOff>
      <xdr:row>46</xdr:row>
      <xdr:rowOff>31680</xdr:rowOff>
    </xdr:to>
    <xdr:graphicFrame>
      <xdr:nvGraphicFramePr>
        <xdr:cNvPr id="1" name="Chart 2"/>
        <xdr:cNvGraphicFramePr/>
      </xdr:nvGraphicFramePr>
      <xdr:xfrm>
        <a:off x="211320" y="71247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56</xdr:row>
      <xdr:rowOff>9360</xdr:rowOff>
    </xdr:from>
    <xdr:to>
      <xdr:col>6</xdr:col>
      <xdr:colOff>699840</xdr:colOff>
      <xdr:row>71</xdr:row>
      <xdr:rowOff>31680</xdr:rowOff>
    </xdr:to>
    <xdr:graphicFrame>
      <xdr:nvGraphicFramePr>
        <xdr:cNvPr id="2" name="Chart 3"/>
        <xdr:cNvGraphicFramePr/>
      </xdr:nvGraphicFramePr>
      <xdr:xfrm>
        <a:off x="211320" y="118872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90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4" customFormat="false" ht="61.5" hidden="false" customHeight="true" outlineLevel="0" collapsed="false">
      <c r="A4" s="3"/>
      <c r="B4" s="4" t="s">
        <v>2</v>
      </c>
      <c r="C4" s="5" t="s">
        <v>3</v>
      </c>
    </row>
    <row r="5" customFormat="false" ht="61.5" hidden="false" customHeight="true" outlineLevel="0" collapsed="false">
      <c r="A5" s="3"/>
      <c r="B5" s="4" t="s">
        <v>4</v>
      </c>
      <c r="C5" s="5" t="s">
        <v>5</v>
      </c>
    </row>
    <row r="6" customFormat="false" ht="61.5" hidden="false" customHeight="true" outlineLevel="0" collapsed="false">
      <c r="A6" s="3"/>
      <c r="B6" s="4" t="s">
        <v>6</v>
      </c>
      <c r="C6" s="5" t="s">
        <v>7</v>
      </c>
    </row>
    <row r="7" customFormat="false" ht="61.5" hidden="false" customHeight="true" outlineLevel="0" collapsed="false">
      <c r="A7" s="3"/>
      <c r="B7" s="4" t="s">
        <v>8</v>
      </c>
      <c r="C7" s="5" t="s">
        <v>9</v>
      </c>
    </row>
    <row r="8" customFormat="false" ht="61.5" hidden="false" customHeight="true" outlineLevel="0" collapsed="false">
      <c r="A8" s="3"/>
      <c r="B8" s="4" t="s">
        <v>10</v>
      </c>
      <c r="C8" s="5" t="s">
        <v>11</v>
      </c>
    </row>
    <row r="9" customFormat="false" ht="61.5" hidden="false" customHeight="true" outlineLevel="0" collapsed="false">
      <c r="A9" s="3"/>
      <c r="B9" s="4" t="s">
        <v>12</v>
      </c>
      <c r="C9" s="5" t="s">
        <v>13</v>
      </c>
    </row>
    <row r="10" customFormat="false" ht="61.5" hidden="false" customHeight="true" outlineLevel="0" collapsed="false">
      <c r="A10" s="3"/>
      <c r="B10" s="4" t="s">
        <v>14</v>
      </c>
      <c r="C10" s="5" t="s">
        <v>15</v>
      </c>
    </row>
    <row r="11" customFormat="false" ht="61.5" hidden="false" customHeight="true" outlineLevel="0" collapsed="false">
      <c r="A11" s="3"/>
      <c r="B11" s="4" t="s">
        <v>16</v>
      </c>
      <c r="C11" s="5" t="s">
        <v>17</v>
      </c>
    </row>
    <row r="12" customFormat="false" ht="61.5" hidden="false" customHeight="true" outlineLevel="0" collapsed="false">
      <c r="A12" s="3"/>
      <c r="B12" s="4" t="s">
        <v>18</v>
      </c>
      <c r="C12" s="5" t="s">
        <v>19</v>
      </c>
    </row>
    <row r="13" customFormat="false" ht="61.5" hidden="false" customHeight="true" outlineLevel="0" collapsed="false">
      <c r="A13" s="3"/>
      <c r="B13" s="4" t="s">
        <v>20</v>
      </c>
      <c r="C13" s="5" t="s">
        <v>21</v>
      </c>
    </row>
    <row r="14" customFormat="false" ht="61.5" hidden="false" customHeight="true" outlineLevel="0" collapsed="false">
      <c r="A14" s="3"/>
      <c r="B14" s="4" t="s">
        <v>22</v>
      </c>
      <c r="C14" s="5" t="s">
        <v>23</v>
      </c>
    </row>
    <row r="16" customFormat="false" ht="15" hidden="false" customHeight="false" outlineLevel="0" collapsed="false">
      <c r="A16" s="6" t="s">
        <v>24</v>
      </c>
      <c r="B16" s="6"/>
      <c r="C16" s="6"/>
    </row>
    <row r="17" customFormat="false" ht="15" hidden="false" customHeight="false" outlineLevel="0" collapsed="false">
      <c r="B17" s="7" t="s">
        <v>25</v>
      </c>
    </row>
    <row r="18" customFormat="false" ht="15" hidden="false" customHeight="false" outlineLevel="0" collapsed="false">
      <c r="B18" s="8" t="s">
        <v>26</v>
      </c>
    </row>
    <row r="19" customFormat="false" ht="15" hidden="false" customHeight="false" outlineLevel="0" collapsed="false">
      <c r="B19" s="9" t="s">
        <v>27</v>
      </c>
    </row>
    <row r="20" customFormat="false" ht="15" hidden="false" customHeight="false" outlineLevel="0" collapsed="false">
      <c r="B20" s="10" t="s">
        <v>28</v>
      </c>
    </row>
    <row r="22" customFormat="false" ht="15" hidden="false" customHeight="false" outlineLevel="0" collapsed="false">
      <c r="B22" s="11" t="s">
        <v>29</v>
      </c>
      <c r="C22" s="12" t="s">
        <v>30</v>
      </c>
    </row>
    <row r="23" customFormat="false" ht="15" hidden="false" customHeight="false" outlineLevel="0" collapsed="false">
      <c r="B23" s="11" t="s">
        <v>31</v>
      </c>
      <c r="C23" s="12" t="s">
        <v>32</v>
      </c>
    </row>
  </sheetData>
  <mergeCells count="3">
    <mergeCell ref="A1:C1"/>
    <mergeCell ref="A2:C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8" min="3" style="0" width="14"/>
    <col collapsed="false" customWidth="true" hidden="false" outlineLevel="0" max="10" min="9" style="0" width="4"/>
  </cols>
  <sheetData>
    <row r="1" customFormat="false" ht="27.75" hidden="false" customHeight="true" outlineLevel="0" collapsed="false">
      <c r="B1" s="1" t="s">
        <v>33</v>
      </c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" t="s">
        <v>34</v>
      </c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6" t="s">
        <v>35</v>
      </c>
      <c r="C4" s="6"/>
      <c r="D4" s="6"/>
      <c r="E4" s="6"/>
      <c r="F4" s="6"/>
      <c r="G4" s="6"/>
      <c r="H4" s="6"/>
      <c r="I4" s="6"/>
    </row>
    <row r="5" customFormat="false" ht="33.75" hidden="false" customHeight="true" outlineLevel="0" collapsed="false">
      <c r="B5" s="13" t="s">
        <v>36</v>
      </c>
      <c r="C5" s="13" t="s">
        <v>37</v>
      </c>
      <c r="D5" s="13" t="s">
        <v>38</v>
      </c>
      <c r="E5" s="13" t="s">
        <v>27</v>
      </c>
      <c r="F5" s="13" t="s">
        <v>26</v>
      </c>
      <c r="G5" s="13" t="s">
        <v>25</v>
      </c>
      <c r="H5" s="13" t="s">
        <v>39</v>
      </c>
      <c r="I5" s="13" t="s">
        <v>40</v>
      </c>
    </row>
    <row r="6" customFormat="false" ht="23.85" hidden="false" customHeight="false" outlineLevel="0" collapsed="false">
      <c r="B6" s="14" t="s">
        <v>41</v>
      </c>
      <c r="C6" s="15" t="n">
        <v>93</v>
      </c>
      <c r="D6" s="15" t="n">
        <f aca="false">COUNTIF('ISO27001-2022'!$G$5:$G$97,"Ya")</f>
        <v>93</v>
      </c>
      <c r="E6" s="15" t="n">
        <f aca="false">COUNTIF('ISO27001-2022'!$I$5:$I$97,"Diterapkan")</f>
        <v>0</v>
      </c>
      <c r="F6" s="15" t="n">
        <f aca="false">COUNTIF('ISO27001-2022'!$I$5:$I$97,"Dalam Proses")</f>
        <v>1</v>
      </c>
      <c r="G6" s="15" t="n">
        <f aca="false">COUNTIF('ISO27001-2022'!$I$5:$I$97,"Belum Dimulai")</f>
        <v>92</v>
      </c>
      <c r="H6" s="15" t="n">
        <f aca="false">COUNTIF('ISO27001-2022'!$I$5:$I$97,"Tidak Berlaku (N/A)")</f>
        <v>0</v>
      </c>
      <c r="I6" s="16" t="n">
        <f aca="false">IFERROR(E6/MAX(D6,1),0)</f>
        <v>0</v>
      </c>
    </row>
    <row r="7" customFormat="false" ht="23.85" hidden="false" customHeight="false" outlineLevel="0" collapsed="false">
      <c r="B7" s="14" t="s">
        <v>42</v>
      </c>
      <c r="C7" s="15" t="n">
        <v>31</v>
      </c>
      <c r="D7" s="15" t="n">
        <f aca="false">COUNTIF('ISO27701-A1_Controller'!$G$5:$G$35,"Ya")</f>
        <v>31</v>
      </c>
      <c r="E7" s="15" t="n">
        <f aca="false">COUNTIF('ISO27701-A1_Controller'!$I$5:$I$35,"Diterapkan")</f>
        <v>0</v>
      </c>
      <c r="F7" s="15" t="n">
        <f aca="false">COUNTIF('ISO27701-A1_Controller'!$I$5:$I$35,"Dalam Proses")</f>
        <v>1</v>
      </c>
      <c r="G7" s="15" t="n">
        <f aca="false">COUNTIF('ISO27701-A1_Controller'!$I$5:$I$35,"Belum Dimulai")</f>
        <v>30</v>
      </c>
      <c r="H7" s="15" t="n">
        <f aca="false">COUNTIF('ISO27701-A1_Controller'!$I$5:$I$35,"Tidak Berlaku (N/A)")</f>
        <v>0</v>
      </c>
      <c r="I7" s="16" t="n">
        <f aca="false">IFERROR(E7/MAX(D7,1),0)</f>
        <v>0</v>
      </c>
    </row>
    <row r="8" customFormat="false" ht="23.85" hidden="false" customHeight="false" outlineLevel="0" collapsed="false">
      <c r="B8" s="14" t="s">
        <v>43</v>
      </c>
      <c r="C8" s="15" t="n">
        <v>18</v>
      </c>
      <c r="D8" s="15" t="n">
        <f aca="false">COUNTIF('ISO27701-A2_Processor'!$G$5:$G$22,"Ya")</f>
        <v>18</v>
      </c>
      <c r="E8" s="15" t="n">
        <f aca="false">COUNTIF('ISO27701-A2_Processor'!$I$5:$I$22,"Diterapkan")</f>
        <v>0</v>
      </c>
      <c r="F8" s="15" t="n">
        <f aca="false">COUNTIF('ISO27701-A2_Processor'!$I$5:$I$22,"Dalam Proses")</f>
        <v>1</v>
      </c>
      <c r="G8" s="15" t="n">
        <f aca="false">COUNTIF('ISO27701-A2_Processor'!$I$5:$I$22,"Belum Dimulai")</f>
        <v>17</v>
      </c>
      <c r="H8" s="15" t="n">
        <f aca="false">COUNTIF('ISO27701-A2_Processor'!$I$5:$I$22,"Tidak Berlaku (N/A)")</f>
        <v>0</v>
      </c>
      <c r="I8" s="16" t="n">
        <f aca="false">IFERROR(E8/MAX(D8,1),0)</f>
        <v>0</v>
      </c>
    </row>
    <row r="9" customFormat="false" ht="23.85" hidden="false" customHeight="false" outlineLevel="0" collapsed="false">
      <c r="B9" s="14" t="s">
        <v>44</v>
      </c>
      <c r="C9" s="15" t="n">
        <v>29</v>
      </c>
      <c r="D9" s="15" t="n">
        <f aca="false">COUNTIF('ISO27701-A3_Shared'!$G$5:$G$33,"Ya")</f>
        <v>29</v>
      </c>
      <c r="E9" s="15" t="n">
        <f aca="false">COUNTIF('ISO27701-A3_Shared'!$I$5:$I$33,"Diterapkan")</f>
        <v>0</v>
      </c>
      <c r="F9" s="15" t="n">
        <f aca="false">COUNTIF('ISO27701-A3_Shared'!$I$5:$I$33,"Dalam Proses")</f>
        <v>1</v>
      </c>
      <c r="G9" s="15" t="n">
        <f aca="false">COUNTIF('ISO27701-A3_Shared'!$I$5:$I$33,"Belum Dimulai")</f>
        <v>28</v>
      </c>
      <c r="H9" s="15" t="n">
        <f aca="false">COUNTIF('ISO27701-A3_Shared'!$I$5:$I$33,"Tidak Berlaku (N/A)")</f>
        <v>0</v>
      </c>
      <c r="I9" s="16" t="n">
        <f aca="false">IFERROR(E9/MAX(D9,1),0)</f>
        <v>0</v>
      </c>
    </row>
    <row r="10" customFormat="false" ht="23.85" hidden="false" customHeight="false" outlineLevel="0" collapsed="false">
      <c r="B10" s="17" t="s">
        <v>45</v>
      </c>
      <c r="C10" s="18" t="n">
        <f aca="false">SUM(C6:C9)</f>
        <v>171</v>
      </c>
      <c r="D10" s="18" t="n">
        <f aca="false">SUM(D6:D9)</f>
        <v>171</v>
      </c>
      <c r="E10" s="18" t="n">
        <f aca="false">SUM(E6:E9)</f>
        <v>0</v>
      </c>
      <c r="F10" s="18" t="n">
        <f aca="false">SUM(F6:F9)</f>
        <v>4</v>
      </c>
      <c r="G10" s="18" t="n">
        <f aca="false">SUM(G6:G9)</f>
        <v>167</v>
      </c>
      <c r="H10" s="18" t="n">
        <f aca="false">SUM(H6:H9)</f>
        <v>0</v>
      </c>
      <c r="I10" s="19" t="n">
        <f aca="false">IFERROR(E10/MAX(D10,1),0)</f>
        <v>0</v>
      </c>
    </row>
    <row r="13" customFormat="false" ht="15" hidden="false" customHeight="false" outlineLevel="0" collapsed="false">
      <c r="B13" s="6" t="s">
        <v>46</v>
      </c>
      <c r="C13" s="6"/>
      <c r="D13" s="6"/>
      <c r="E13" s="6"/>
      <c r="F13" s="6"/>
      <c r="G13" s="6"/>
      <c r="H13" s="6"/>
      <c r="I13" s="6"/>
    </row>
    <row r="14" customFormat="false" ht="33.75" hidden="false" customHeight="true" outlineLevel="0" collapsed="false">
      <c r="B14" s="20" t="n">
        <f aca="false">C10</f>
        <v>171</v>
      </c>
      <c r="C14" s="20"/>
      <c r="D14" s="20" t="n">
        <f aca="false">D10</f>
        <v>171</v>
      </c>
      <c r="E14" s="20"/>
      <c r="F14" s="20" t="n">
        <f aca="false">E10</f>
        <v>0</v>
      </c>
      <c r="G14" s="20"/>
      <c r="H14" s="21" t="n">
        <f aca="false">I10</f>
        <v>0</v>
      </c>
      <c r="I14" s="21"/>
    </row>
    <row r="15" customFormat="false" ht="15.75" hidden="false" customHeight="true" outlineLevel="0" collapsed="false">
      <c r="B15" s="22" t="s">
        <v>37</v>
      </c>
      <c r="C15" s="22"/>
      <c r="D15" s="22" t="s">
        <v>47</v>
      </c>
      <c r="E15" s="22"/>
      <c r="F15" s="22" t="s">
        <v>48</v>
      </c>
      <c r="G15" s="22"/>
      <c r="H15" s="22" t="s">
        <v>49</v>
      </c>
      <c r="I15" s="22"/>
    </row>
    <row r="52" customFormat="false" ht="15" hidden="false" customHeight="false" outlineLevel="0" collapsed="false">
      <c r="B52" s="6" t="s">
        <v>50</v>
      </c>
      <c r="C52" s="6"/>
      <c r="D52" s="6"/>
      <c r="E52" s="6"/>
      <c r="F52" s="6"/>
      <c r="G52" s="6"/>
      <c r="H52" s="6"/>
      <c r="I52" s="6"/>
    </row>
    <row r="53" customFormat="false" ht="15" hidden="false" customHeight="false" outlineLevel="0" collapsed="false">
      <c r="B53" s="13" t="s">
        <v>51</v>
      </c>
      <c r="C53" s="13" t="s">
        <v>52</v>
      </c>
      <c r="D53" s="13" t="s">
        <v>27</v>
      </c>
      <c r="E53" s="13" t="s">
        <v>26</v>
      </c>
      <c r="F53" s="13" t="s">
        <v>25</v>
      </c>
      <c r="G53" s="13" t="s">
        <v>53</v>
      </c>
    </row>
    <row r="54" customFormat="false" ht="15" hidden="false" customHeight="false" outlineLevel="0" collapsed="false">
      <c r="B54" s="14" t="s">
        <v>54</v>
      </c>
      <c r="C54" s="15" t="n">
        <f aca="false">COUNTIF('ISO27001-2022'!$C$5:$C$97,"Organisasi")</f>
        <v>37</v>
      </c>
      <c r="D54" s="15" t="n">
        <f aca="false">COUNTIFS('ISO27001-2022'!$C$5:$C$97,"Organisasi",'ISO27001-2022'!$I$5:$I$97,"Diterapkan")</f>
        <v>0</v>
      </c>
      <c r="E54" s="15" t="n">
        <f aca="false">COUNTIFS('ISO27001-2022'!$C$5:$C$97,"Organisasi",'ISO27001-2022'!$I$5:$I$97,"Dalam Proses")</f>
        <v>1</v>
      </c>
      <c r="F54" s="15" t="n">
        <f aca="false">COUNTIFS('ISO27001-2022'!$C$5:$C$97,"Organisasi",'ISO27001-2022'!$I$5:$I$97,"Belum Dimulai")</f>
        <v>36</v>
      </c>
      <c r="G54" s="16" t="n">
        <f aca="false">IFERROR(D54/MAX(C54,1),0)</f>
        <v>0</v>
      </c>
    </row>
    <row r="55" customFormat="false" ht="15" hidden="false" customHeight="false" outlineLevel="0" collapsed="false">
      <c r="B55" s="14" t="s">
        <v>55</v>
      </c>
      <c r="C55" s="15" t="n">
        <f aca="false">COUNTIF('ISO27001-2022'!$C$5:$C$97,"SDM")</f>
        <v>8</v>
      </c>
      <c r="D55" s="15" t="n">
        <f aca="false">COUNTIFS('ISO27001-2022'!$C$5:$C$97,"SDM",'ISO27001-2022'!$I$5:$I$97,"Diterapkan")</f>
        <v>0</v>
      </c>
      <c r="E55" s="15" t="n">
        <f aca="false">COUNTIFS('ISO27001-2022'!$C$5:$C$97,"SDM",'ISO27001-2022'!$I$5:$I$97,"Dalam Proses")</f>
        <v>0</v>
      </c>
      <c r="F55" s="15" t="n">
        <f aca="false">COUNTIFS('ISO27001-2022'!$C$5:$C$97,"SDM",'ISO27001-2022'!$I$5:$I$97,"Belum Dimulai")</f>
        <v>8</v>
      </c>
      <c r="G55" s="16" t="n">
        <f aca="false">IFERROR(D55/MAX(C55,1),0)</f>
        <v>0</v>
      </c>
    </row>
    <row r="56" customFormat="false" ht="15" hidden="false" customHeight="false" outlineLevel="0" collapsed="false">
      <c r="B56" s="14" t="s">
        <v>56</v>
      </c>
      <c r="C56" s="15" t="n">
        <f aca="false">COUNTIF('ISO27001-2022'!$C$5:$C$97,"Fisik")</f>
        <v>14</v>
      </c>
      <c r="D56" s="15" t="n">
        <f aca="false">COUNTIFS('ISO27001-2022'!$C$5:$C$97,"Fisik",'ISO27001-2022'!$I$5:$I$97,"Diterapkan")</f>
        <v>0</v>
      </c>
      <c r="E56" s="15" t="n">
        <f aca="false">COUNTIFS('ISO27001-2022'!$C$5:$C$97,"Fisik",'ISO27001-2022'!$I$5:$I$97,"Dalam Proses")</f>
        <v>0</v>
      </c>
      <c r="F56" s="15" t="n">
        <f aca="false">COUNTIFS('ISO27001-2022'!$C$5:$C$97,"Fisik",'ISO27001-2022'!$I$5:$I$97,"Belum Dimulai")</f>
        <v>14</v>
      </c>
      <c r="G56" s="16" t="n">
        <f aca="false">IFERROR(D56/MAX(C56,1),0)</f>
        <v>0</v>
      </c>
    </row>
    <row r="57" customFormat="false" ht="15" hidden="false" customHeight="false" outlineLevel="0" collapsed="false">
      <c r="B57" s="14" t="s">
        <v>57</v>
      </c>
      <c r="C57" s="15" t="n">
        <f aca="false">COUNTIF('ISO27001-2022'!$C$5:$C$97,"Teknologi")</f>
        <v>34</v>
      </c>
      <c r="D57" s="15" t="n">
        <f aca="false">COUNTIFS('ISO27001-2022'!$C$5:$C$97,"Teknologi",'ISO27001-2022'!$I$5:$I$97,"Diterapkan")</f>
        <v>0</v>
      </c>
      <c r="E57" s="15" t="n">
        <f aca="false">COUNTIFS('ISO27001-2022'!$C$5:$C$97,"Teknologi",'ISO27001-2022'!$I$5:$I$97,"Dalam Proses")</f>
        <v>0</v>
      </c>
      <c r="F57" s="15" t="n">
        <f aca="false">COUNTIFS('ISO27001-2022'!$C$5:$C$97,"Teknologi",'ISO27001-2022'!$I$5:$I$97,"Belum Dimulai")</f>
        <v>34</v>
      </c>
      <c r="G57" s="16" t="n">
        <f aca="false">IFERROR(D57/MAX(C57,1),0)</f>
        <v>0</v>
      </c>
    </row>
  </sheetData>
  <mergeCells count="13">
    <mergeCell ref="B1:I1"/>
    <mergeCell ref="B2:I2"/>
    <mergeCell ref="B4:I4"/>
    <mergeCell ref="B13:I13"/>
    <mergeCell ref="B14:C14"/>
    <mergeCell ref="D14:E14"/>
    <mergeCell ref="F14:G14"/>
    <mergeCell ref="H14:I14"/>
    <mergeCell ref="B15:C15"/>
    <mergeCell ref="D15:E15"/>
    <mergeCell ref="F15:G15"/>
    <mergeCell ref="H15:I15"/>
    <mergeCell ref="B52:I52"/>
  </mergeCells>
  <conditionalFormatting sqref="I6:I10">
    <cfRule type="dataBar" priority="2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{37D161D1-7EFB-4247-A18F-F6355B848CE3}</x14:id>
        </ext>
      </extLst>
    </cfRule>
  </conditionalFormatting>
  <conditionalFormatting sqref="G54:G57">
    <cfRule type="dataBar" priority="3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{1A82F477-11BB-47F4-8974-4987574773B1}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D161D1-7EFB-4247-A18F-F6355B848CE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I6:I10</xm:sqref>
        </x14:conditionalFormatting>
        <x14:conditionalFormatting xmlns:xm="http://schemas.microsoft.com/office/excel/2006/main">
          <x14:cfRule type="dataBar" id="{1A82F477-11BB-47F4-8974-4987574773B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G54:G57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42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26"/>
    <col collapsed="false" customWidth="true" hidden="false" outlineLevel="0" max="15" min="14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5"/>
    <col collapsed="false" customWidth="true" hidden="false" outlineLevel="0" max="19" min="19" style="0" width="30"/>
  </cols>
  <sheetData>
    <row r="1" customFormat="false" ht="25.5" hidden="false" customHeight="true" outlineLevel="0" collapsed="false">
      <c r="A1" s="23" t="s">
        <v>58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customFormat="false" ht="15.75" hidden="false" customHeight="true" outlineLevel="0" collapsed="false">
      <c r="A2" s="24" t="s">
        <v>59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4" customFormat="false" ht="31.5" hidden="false" customHeight="true" outlineLevel="0" collapsed="false">
      <c r="A4" s="13" t="s">
        <v>60</v>
      </c>
      <c r="B4" s="13" t="s">
        <v>61</v>
      </c>
      <c r="C4" s="13" t="s">
        <v>62</v>
      </c>
      <c r="D4" s="13" t="s">
        <v>63</v>
      </c>
      <c r="E4" s="13" t="s">
        <v>64</v>
      </c>
      <c r="F4" s="13" t="s">
        <v>65</v>
      </c>
      <c r="G4" s="13" t="s">
        <v>66</v>
      </c>
      <c r="H4" s="13" t="s">
        <v>67</v>
      </c>
      <c r="I4" s="13" t="s">
        <v>10</v>
      </c>
      <c r="J4" s="13" t="s">
        <v>12</v>
      </c>
      <c r="K4" s="13" t="s">
        <v>68</v>
      </c>
      <c r="L4" s="13" t="s">
        <v>69</v>
      </c>
      <c r="M4" s="13" t="s">
        <v>70</v>
      </c>
      <c r="N4" s="13" t="s">
        <v>71</v>
      </c>
      <c r="O4" s="13" t="s">
        <v>72</v>
      </c>
      <c r="P4" s="13" t="s">
        <v>16</v>
      </c>
      <c r="Q4" s="13" t="s">
        <v>73</v>
      </c>
      <c r="R4" s="13" t="s">
        <v>74</v>
      </c>
      <c r="S4" s="13" t="s">
        <v>75</v>
      </c>
    </row>
    <row r="5" customFormat="false" ht="35.05" hidden="false" customHeight="false" outlineLevel="0" collapsed="false">
      <c r="A5" s="15" t="n">
        <v>1</v>
      </c>
      <c r="B5" s="5" t="s">
        <v>76</v>
      </c>
      <c r="C5" s="5" t="s">
        <v>54</v>
      </c>
      <c r="D5" s="5" t="s">
        <v>77</v>
      </c>
      <c r="E5" s="5" t="s">
        <v>78</v>
      </c>
      <c r="F5" s="5" t="s">
        <v>79</v>
      </c>
      <c r="G5" s="25" t="s">
        <v>80</v>
      </c>
      <c r="H5" s="26"/>
      <c r="I5" s="25" t="s">
        <v>26</v>
      </c>
      <c r="J5" s="25" t="n">
        <v>3</v>
      </c>
      <c r="K5" s="27" t="n">
        <f aca="false">IF(OR(I5="Diterapkan",I5="Tidak Berlaku (N/A)"),1,IF(I5="Dalam Proses",0.5,0))</f>
        <v>0.5</v>
      </c>
      <c r="L5" s="26" t="s">
        <v>81</v>
      </c>
      <c r="M5" s="26" t="s">
        <v>82</v>
      </c>
      <c r="N5" s="28" t="n">
        <v>46333</v>
      </c>
      <c r="O5" s="28"/>
      <c r="P5" s="25" t="s">
        <v>83</v>
      </c>
      <c r="Q5" s="28" t="n">
        <v>46243</v>
      </c>
      <c r="R5" s="28" t="n">
        <v>46423</v>
      </c>
      <c r="S5" s="26" t="s">
        <v>84</v>
      </c>
    </row>
    <row r="6" customFormat="false" ht="23.85" hidden="false" customHeight="false" outlineLevel="0" collapsed="false">
      <c r="A6" s="15" t="n">
        <v>2</v>
      </c>
      <c r="B6" s="5" t="s">
        <v>85</v>
      </c>
      <c r="C6" s="5" t="s">
        <v>54</v>
      </c>
      <c r="D6" s="5" t="s">
        <v>86</v>
      </c>
      <c r="E6" s="5" t="s">
        <v>87</v>
      </c>
      <c r="F6" s="5" t="s">
        <v>88</v>
      </c>
      <c r="G6" s="25" t="s">
        <v>80</v>
      </c>
      <c r="H6" s="26"/>
      <c r="I6" s="25" t="s">
        <v>25</v>
      </c>
      <c r="J6" s="25" t="n">
        <v>0</v>
      </c>
      <c r="K6" s="27" t="n">
        <f aca="false">IF(OR(I6="Diterapkan",I6="Tidak Berlaku (N/A)"),1,IF(I6="Dalam Proses",0.5,0))</f>
        <v>0</v>
      </c>
      <c r="L6" s="26"/>
      <c r="M6" s="26"/>
      <c r="N6" s="28"/>
      <c r="O6" s="28"/>
      <c r="P6" s="25" t="s">
        <v>89</v>
      </c>
      <c r="Q6" s="28"/>
      <c r="R6" s="28"/>
      <c r="S6" s="26"/>
    </row>
    <row r="7" customFormat="false" ht="23.85" hidden="false" customHeight="false" outlineLevel="0" collapsed="false">
      <c r="A7" s="15" t="n">
        <v>3</v>
      </c>
      <c r="B7" s="5" t="s">
        <v>90</v>
      </c>
      <c r="C7" s="5" t="s">
        <v>54</v>
      </c>
      <c r="D7" s="5" t="s">
        <v>86</v>
      </c>
      <c r="E7" s="5" t="s">
        <v>91</v>
      </c>
      <c r="F7" s="5" t="s">
        <v>92</v>
      </c>
      <c r="G7" s="25" t="s">
        <v>80</v>
      </c>
      <c r="H7" s="26"/>
      <c r="I7" s="25" t="s">
        <v>25</v>
      </c>
      <c r="J7" s="25" t="n">
        <v>0</v>
      </c>
      <c r="K7" s="27" t="n">
        <f aca="false">IF(OR(I7="Diterapkan",I7="Tidak Berlaku (N/A)"),1,IF(I7="Dalam Proses",0.5,0))</f>
        <v>0</v>
      </c>
      <c r="L7" s="26"/>
      <c r="M7" s="26"/>
      <c r="N7" s="28"/>
      <c r="O7" s="28"/>
      <c r="P7" s="25" t="s">
        <v>89</v>
      </c>
      <c r="Q7" s="28"/>
      <c r="R7" s="28"/>
      <c r="S7" s="26"/>
    </row>
    <row r="8" customFormat="false" ht="23.85" hidden="false" customHeight="false" outlineLevel="0" collapsed="false">
      <c r="A8" s="15" t="n">
        <v>4</v>
      </c>
      <c r="B8" s="5" t="s">
        <v>93</v>
      </c>
      <c r="C8" s="5" t="s">
        <v>54</v>
      </c>
      <c r="D8" s="5" t="s">
        <v>94</v>
      </c>
      <c r="E8" s="5" t="s">
        <v>95</v>
      </c>
      <c r="F8" s="5" t="s">
        <v>96</v>
      </c>
      <c r="G8" s="25" t="s">
        <v>80</v>
      </c>
      <c r="H8" s="26"/>
      <c r="I8" s="25" t="s">
        <v>25</v>
      </c>
      <c r="J8" s="25" t="n">
        <v>0</v>
      </c>
      <c r="K8" s="27" t="n">
        <f aca="false">IF(OR(I8="Diterapkan",I8="Tidak Berlaku (N/A)"),1,IF(I8="Dalam Proses",0.5,0))</f>
        <v>0</v>
      </c>
      <c r="L8" s="26"/>
      <c r="M8" s="26"/>
      <c r="N8" s="28"/>
      <c r="O8" s="28"/>
      <c r="P8" s="25" t="s">
        <v>89</v>
      </c>
      <c r="Q8" s="28"/>
      <c r="R8" s="28"/>
      <c r="S8" s="26"/>
    </row>
    <row r="9" customFormat="false" ht="23.85" hidden="false" customHeight="false" outlineLevel="0" collapsed="false">
      <c r="A9" s="15" t="n">
        <v>5</v>
      </c>
      <c r="B9" s="5" t="s">
        <v>97</v>
      </c>
      <c r="C9" s="5" t="s">
        <v>54</v>
      </c>
      <c r="D9" s="5" t="s">
        <v>98</v>
      </c>
      <c r="E9" s="5" t="s">
        <v>99</v>
      </c>
      <c r="F9" s="5" t="s">
        <v>100</v>
      </c>
      <c r="G9" s="25" t="s">
        <v>80</v>
      </c>
      <c r="H9" s="26"/>
      <c r="I9" s="25" t="s">
        <v>25</v>
      </c>
      <c r="J9" s="25" t="n">
        <v>0</v>
      </c>
      <c r="K9" s="27" t="n">
        <f aca="false">IF(OR(I9="Diterapkan",I9="Tidak Berlaku (N/A)"),1,IF(I9="Dalam Proses",0.5,0))</f>
        <v>0</v>
      </c>
      <c r="L9" s="26"/>
      <c r="M9" s="26"/>
      <c r="N9" s="28"/>
      <c r="O9" s="28"/>
      <c r="P9" s="25" t="s">
        <v>89</v>
      </c>
      <c r="Q9" s="28"/>
      <c r="R9" s="28"/>
      <c r="S9" s="26"/>
    </row>
    <row r="10" customFormat="false" ht="23.85" hidden="false" customHeight="false" outlineLevel="0" collapsed="false">
      <c r="A10" s="15" t="n">
        <v>6</v>
      </c>
      <c r="B10" s="5" t="s">
        <v>101</v>
      </c>
      <c r="C10" s="5" t="s">
        <v>54</v>
      </c>
      <c r="D10" s="5" t="s">
        <v>102</v>
      </c>
      <c r="E10" s="5" t="s">
        <v>103</v>
      </c>
      <c r="F10" s="5" t="s">
        <v>104</v>
      </c>
      <c r="G10" s="25" t="s">
        <v>80</v>
      </c>
      <c r="H10" s="26"/>
      <c r="I10" s="25" t="s">
        <v>25</v>
      </c>
      <c r="J10" s="25" t="n">
        <v>0</v>
      </c>
      <c r="K10" s="27" t="n">
        <f aca="false">IF(OR(I10="Diterapkan",I10="Tidak Berlaku (N/A)"),1,IF(I10="Dalam Proses",0.5,0))</f>
        <v>0</v>
      </c>
      <c r="L10" s="26"/>
      <c r="M10" s="26"/>
      <c r="N10" s="28"/>
      <c r="O10" s="28"/>
      <c r="P10" s="25" t="s">
        <v>89</v>
      </c>
      <c r="Q10" s="28"/>
      <c r="R10" s="28"/>
      <c r="S10" s="26"/>
    </row>
    <row r="11" customFormat="false" ht="23.85" hidden="false" customHeight="false" outlineLevel="0" collapsed="false">
      <c r="A11" s="15" t="n">
        <v>7</v>
      </c>
      <c r="B11" s="5" t="s">
        <v>105</v>
      </c>
      <c r="C11" s="5" t="s">
        <v>54</v>
      </c>
      <c r="D11" s="5" t="s">
        <v>106</v>
      </c>
      <c r="E11" s="5" t="s">
        <v>107</v>
      </c>
      <c r="F11" s="5" t="s">
        <v>108</v>
      </c>
      <c r="G11" s="25" t="s">
        <v>80</v>
      </c>
      <c r="H11" s="26"/>
      <c r="I11" s="25" t="s">
        <v>25</v>
      </c>
      <c r="J11" s="25" t="n">
        <v>0</v>
      </c>
      <c r="K11" s="27" t="n">
        <f aca="false">IF(OR(I11="Diterapkan",I11="Tidak Berlaku (N/A)"),1,IF(I11="Dalam Proses",0.5,0))</f>
        <v>0</v>
      </c>
      <c r="L11" s="26"/>
      <c r="M11" s="26"/>
      <c r="N11" s="28"/>
      <c r="O11" s="28"/>
      <c r="P11" s="25" t="s">
        <v>89</v>
      </c>
      <c r="Q11" s="28"/>
      <c r="R11" s="28"/>
      <c r="S11" s="26"/>
    </row>
    <row r="12" customFormat="false" ht="23.85" hidden="false" customHeight="false" outlineLevel="0" collapsed="false">
      <c r="A12" s="15" t="n">
        <v>8</v>
      </c>
      <c r="B12" s="5" t="s">
        <v>109</v>
      </c>
      <c r="C12" s="5" t="s">
        <v>54</v>
      </c>
      <c r="D12" s="5" t="s">
        <v>110</v>
      </c>
      <c r="E12" s="5" t="s">
        <v>111</v>
      </c>
      <c r="F12" s="5" t="s">
        <v>112</v>
      </c>
      <c r="G12" s="25" t="s">
        <v>80</v>
      </c>
      <c r="H12" s="26"/>
      <c r="I12" s="25" t="s">
        <v>25</v>
      </c>
      <c r="J12" s="25" t="n">
        <v>0</v>
      </c>
      <c r="K12" s="27" t="n">
        <f aca="false">IF(OR(I12="Diterapkan",I12="Tidak Berlaku (N/A)"),1,IF(I12="Dalam Proses",0.5,0))</f>
        <v>0</v>
      </c>
      <c r="L12" s="26"/>
      <c r="M12" s="26"/>
      <c r="N12" s="28"/>
      <c r="O12" s="28"/>
      <c r="P12" s="25" t="s">
        <v>89</v>
      </c>
      <c r="Q12" s="28"/>
      <c r="R12" s="28"/>
      <c r="S12" s="26"/>
    </row>
    <row r="13" customFormat="false" ht="23.85" hidden="false" customHeight="false" outlineLevel="0" collapsed="false">
      <c r="A13" s="15" t="n">
        <v>9</v>
      </c>
      <c r="B13" s="5" t="s">
        <v>113</v>
      </c>
      <c r="C13" s="5" t="s">
        <v>54</v>
      </c>
      <c r="D13" s="5" t="s">
        <v>114</v>
      </c>
      <c r="E13" s="5" t="s">
        <v>115</v>
      </c>
      <c r="F13" s="5" t="s">
        <v>116</v>
      </c>
      <c r="G13" s="25" t="s">
        <v>80</v>
      </c>
      <c r="H13" s="26"/>
      <c r="I13" s="25" t="s">
        <v>25</v>
      </c>
      <c r="J13" s="25" t="n">
        <v>0</v>
      </c>
      <c r="K13" s="27" t="n">
        <f aca="false">IF(OR(I13="Diterapkan",I13="Tidak Berlaku (N/A)"),1,IF(I13="Dalam Proses",0.5,0))</f>
        <v>0</v>
      </c>
      <c r="L13" s="26"/>
      <c r="M13" s="26"/>
      <c r="N13" s="28"/>
      <c r="O13" s="28"/>
      <c r="P13" s="25" t="s">
        <v>89</v>
      </c>
      <c r="Q13" s="28"/>
      <c r="R13" s="28"/>
      <c r="S13" s="26"/>
    </row>
    <row r="14" customFormat="false" ht="23.85" hidden="false" customHeight="false" outlineLevel="0" collapsed="false">
      <c r="A14" s="15" t="n">
        <v>10</v>
      </c>
      <c r="B14" s="5" t="s">
        <v>117</v>
      </c>
      <c r="C14" s="5" t="s">
        <v>54</v>
      </c>
      <c r="D14" s="5" t="s">
        <v>114</v>
      </c>
      <c r="E14" s="5" t="s">
        <v>118</v>
      </c>
      <c r="F14" s="5" t="s">
        <v>119</v>
      </c>
      <c r="G14" s="25" t="s">
        <v>80</v>
      </c>
      <c r="H14" s="26"/>
      <c r="I14" s="25" t="s">
        <v>25</v>
      </c>
      <c r="J14" s="25" t="n">
        <v>0</v>
      </c>
      <c r="K14" s="27" t="n">
        <f aca="false">IF(OR(I14="Diterapkan",I14="Tidak Berlaku (N/A)"),1,IF(I14="Dalam Proses",0.5,0))</f>
        <v>0</v>
      </c>
      <c r="L14" s="26"/>
      <c r="M14" s="26"/>
      <c r="N14" s="28"/>
      <c r="O14" s="28"/>
      <c r="P14" s="25" t="s">
        <v>89</v>
      </c>
      <c r="Q14" s="28"/>
      <c r="R14" s="28"/>
      <c r="S14" s="26"/>
    </row>
    <row r="15" customFormat="false" ht="23.85" hidden="false" customHeight="false" outlineLevel="0" collapsed="false">
      <c r="A15" s="15" t="n">
        <v>11</v>
      </c>
      <c r="B15" s="5" t="s">
        <v>120</v>
      </c>
      <c r="C15" s="5" t="s">
        <v>54</v>
      </c>
      <c r="D15" s="5" t="s">
        <v>114</v>
      </c>
      <c r="E15" s="5" t="s">
        <v>121</v>
      </c>
      <c r="F15" s="5" t="s">
        <v>122</v>
      </c>
      <c r="G15" s="25" t="s">
        <v>80</v>
      </c>
      <c r="H15" s="26"/>
      <c r="I15" s="25" t="s">
        <v>25</v>
      </c>
      <c r="J15" s="25" t="n">
        <v>0</v>
      </c>
      <c r="K15" s="27" t="n">
        <f aca="false">IF(OR(I15="Diterapkan",I15="Tidak Berlaku (N/A)"),1,IF(I15="Dalam Proses",0.5,0))</f>
        <v>0</v>
      </c>
      <c r="L15" s="26"/>
      <c r="M15" s="26"/>
      <c r="N15" s="28"/>
      <c r="O15" s="28"/>
      <c r="P15" s="25" t="s">
        <v>89</v>
      </c>
      <c r="Q15" s="28"/>
      <c r="R15" s="28"/>
      <c r="S15" s="26"/>
    </row>
    <row r="16" customFormat="false" ht="23.85" hidden="false" customHeight="false" outlineLevel="0" collapsed="false">
      <c r="A16" s="15" t="n">
        <v>12</v>
      </c>
      <c r="B16" s="5" t="s">
        <v>123</v>
      </c>
      <c r="C16" s="5" t="s">
        <v>54</v>
      </c>
      <c r="D16" s="5" t="s">
        <v>124</v>
      </c>
      <c r="E16" s="5" t="s">
        <v>125</v>
      </c>
      <c r="F16" s="5" t="s">
        <v>126</v>
      </c>
      <c r="G16" s="25" t="s">
        <v>80</v>
      </c>
      <c r="H16" s="26"/>
      <c r="I16" s="25" t="s">
        <v>25</v>
      </c>
      <c r="J16" s="25" t="n">
        <v>0</v>
      </c>
      <c r="K16" s="27" t="n">
        <f aca="false">IF(OR(I16="Diterapkan",I16="Tidak Berlaku (N/A)"),1,IF(I16="Dalam Proses",0.5,0))</f>
        <v>0</v>
      </c>
      <c r="L16" s="26"/>
      <c r="M16" s="26"/>
      <c r="N16" s="28"/>
      <c r="O16" s="28"/>
      <c r="P16" s="25" t="s">
        <v>89</v>
      </c>
      <c r="Q16" s="28"/>
      <c r="R16" s="28"/>
      <c r="S16" s="26"/>
    </row>
    <row r="17" customFormat="false" ht="23.85" hidden="false" customHeight="false" outlineLevel="0" collapsed="false">
      <c r="A17" s="15" t="n">
        <v>13</v>
      </c>
      <c r="B17" s="5" t="s">
        <v>127</v>
      </c>
      <c r="C17" s="5" t="s">
        <v>54</v>
      </c>
      <c r="D17" s="5" t="s">
        <v>124</v>
      </c>
      <c r="E17" s="5" t="s">
        <v>128</v>
      </c>
      <c r="F17" s="5" t="s">
        <v>129</v>
      </c>
      <c r="G17" s="25" t="s">
        <v>80</v>
      </c>
      <c r="H17" s="26"/>
      <c r="I17" s="25" t="s">
        <v>25</v>
      </c>
      <c r="J17" s="25" t="n">
        <v>0</v>
      </c>
      <c r="K17" s="27" t="n">
        <f aca="false">IF(OR(I17="Diterapkan",I17="Tidak Berlaku (N/A)"),1,IF(I17="Dalam Proses",0.5,0))</f>
        <v>0</v>
      </c>
      <c r="L17" s="26"/>
      <c r="M17" s="26"/>
      <c r="N17" s="28"/>
      <c r="O17" s="28"/>
      <c r="P17" s="25" t="s">
        <v>89</v>
      </c>
      <c r="Q17" s="28"/>
      <c r="R17" s="28"/>
      <c r="S17" s="26"/>
    </row>
    <row r="18" customFormat="false" ht="23.85" hidden="false" customHeight="false" outlineLevel="0" collapsed="false">
      <c r="A18" s="15" t="n">
        <v>14</v>
      </c>
      <c r="B18" s="5" t="s">
        <v>130</v>
      </c>
      <c r="C18" s="5" t="s">
        <v>54</v>
      </c>
      <c r="D18" s="5" t="s">
        <v>131</v>
      </c>
      <c r="E18" s="5" t="s">
        <v>132</v>
      </c>
      <c r="F18" s="5" t="s">
        <v>133</v>
      </c>
      <c r="G18" s="25" t="s">
        <v>80</v>
      </c>
      <c r="H18" s="26"/>
      <c r="I18" s="25" t="s">
        <v>25</v>
      </c>
      <c r="J18" s="25" t="n">
        <v>0</v>
      </c>
      <c r="K18" s="27" t="n">
        <f aca="false">IF(OR(I18="Diterapkan",I18="Tidak Berlaku (N/A)"),1,IF(I18="Dalam Proses",0.5,0))</f>
        <v>0</v>
      </c>
      <c r="L18" s="26"/>
      <c r="M18" s="26"/>
      <c r="N18" s="28"/>
      <c r="O18" s="28"/>
      <c r="P18" s="25" t="s">
        <v>89</v>
      </c>
      <c r="Q18" s="28"/>
      <c r="R18" s="28"/>
      <c r="S18" s="26"/>
    </row>
    <row r="19" customFormat="false" ht="23.85" hidden="false" customHeight="false" outlineLevel="0" collapsed="false">
      <c r="A19" s="15" t="n">
        <v>15</v>
      </c>
      <c r="B19" s="5" t="s">
        <v>134</v>
      </c>
      <c r="C19" s="5" t="s">
        <v>54</v>
      </c>
      <c r="D19" s="5" t="s">
        <v>135</v>
      </c>
      <c r="E19" s="5" t="s">
        <v>136</v>
      </c>
      <c r="F19" s="5" t="s">
        <v>137</v>
      </c>
      <c r="G19" s="25" t="s">
        <v>80</v>
      </c>
      <c r="H19" s="26"/>
      <c r="I19" s="25" t="s">
        <v>25</v>
      </c>
      <c r="J19" s="25" t="n">
        <v>0</v>
      </c>
      <c r="K19" s="27" t="n">
        <f aca="false">IF(OR(I19="Diterapkan",I19="Tidak Berlaku (N/A)"),1,IF(I19="Dalam Proses",0.5,0))</f>
        <v>0</v>
      </c>
      <c r="L19" s="26"/>
      <c r="M19" s="26"/>
      <c r="N19" s="28"/>
      <c r="O19" s="28"/>
      <c r="P19" s="25" t="s">
        <v>89</v>
      </c>
      <c r="Q19" s="28"/>
      <c r="R19" s="28"/>
      <c r="S19" s="26"/>
    </row>
    <row r="20" customFormat="false" ht="23.85" hidden="false" customHeight="false" outlineLevel="0" collapsed="false">
      <c r="A20" s="15" t="n">
        <v>16</v>
      </c>
      <c r="B20" s="5" t="s">
        <v>138</v>
      </c>
      <c r="C20" s="5" t="s">
        <v>54</v>
      </c>
      <c r="D20" s="5" t="s">
        <v>135</v>
      </c>
      <c r="E20" s="5" t="s">
        <v>139</v>
      </c>
      <c r="F20" s="5" t="s">
        <v>140</v>
      </c>
      <c r="G20" s="25" t="s">
        <v>80</v>
      </c>
      <c r="H20" s="26"/>
      <c r="I20" s="25" t="s">
        <v>25</v>
      </c>
      <c r="J20" s="25" t="n">
        <v>0</v>
      </c>
      <c r="K20" s="27" t="n">
        <f aca="false">IF(OR(I20="Diterapkan",I20="Tidak Berlaku (N/A)"),1,IF(I20="Dalam Proses",0.5,0))</f>
        <v>0</v>
      </c>
      <c r="L20" s="26"/>
      <c r="M20" s="26"/>
      <c r="N20" s="28"/>
      <c r="O20" s="28"/>
      <c r="P20" s="25" t="s">
        <v>89</v>
      </c>
      <c r="Q20" s="28"/>
      <c r="R20" s="28"/>
      <c r="S20" s="26"/>
    </row>
    <row r="21" customFormat="false" ht="23.85" hidden="false" customHeight="false" outlineLevel="0" collapsed="false">
      <c r="A21" s="15" t="n">
        <v>17</v>
      </c>
      <c r="B21" s="5" t="s">
        <v>141</v>
      </c>
      <c r="C21" s="5" t="s">
        <v>54</v>
      </c>
      <c r="D21" s="5" t="s">
        <v>135</v>
      </c>
      <c r="E21" s="5" t="s">
        <v>142</v>
      </c>
      <c r="F21" s="5" t="s">
        <v>143</v>
      </c>
      <c r="G21" s="25" t="s">
        <v>80</v>
      </c>
      <c r="H21" s="26"/>
      <c r="I21" s="25" t="s">
        <v>25</v>
      </c>
      <c r="J21" s="25" t="n">
        <v>0</v>
      </c>
      <c r="K21" s="27" t="n">
        <f aca="false">IF(OR(I21="Diterapkan",I21="Tidak Berlaku (N/A)"),1,IF(I21="Dalam Proses",0.5,0))</f>
        <v>0</v>
      </c>
      <c r="L21" s="26"/>
      <c r="M21" s="26"/>
      <c r="N21" s="28"/>
      <c r="O21" s="28"/>
      <c r="P21" s="25" t="s">
        <v>89</v>
      </c>
      <c r="Q21" s="28"/>
      <c r="R21" s="28"/>
      <c r="S21" s="26"/>
    </row>
    <row r="22" customFormat="false" ht="23.85" hidden="false" customHeight="false" outlineLevel="0" collapsed="false">
      <c r="A22" s="15" t="n">
        <v>18</v>
      </c>
      <c r="B22" s="5" t="s">
        <v>144</v>
      </c>
      <c r="C22" s="5" t="s">
        <v>54</v>
      </c>
      <c r="D22" s="5" t="s">
        <v>135</v>
      </c>
      <c r="E22" s="5" t="s">
        <v>145</v>
      </c>
      <c r="F22" s="5" t="s">
        <v>146</v>
      </c>
      <c r="G22" s="25" t="s">
        <v>80</v>
      </c>
      <c r="H22" s="26"/>
      <c r="I22" s="25" t="s">
        <v>25</v>
      </c>
      <c r="J22" s="25" t="n">
        <v>0</v>
      </c>
      <c r="K22" s="27" t="n">
        <f aca="false">IF(OR(I22="Diterapkan",I22="Tidak Berlaku (N/A)"),1,IF(I22="Dalam Proses",0.5,0))</f>
        <v>0</v>
      </c>
      <c r="L22" s="26"/>
      <c r="M22" s="26"/>
      <c r="N22" s="28"/>
      <c r="O22" s="28"/>
      <c r="P22" s="25" t="s">
        <v>89</v>
      </c>
      <c r="Q22" s="28"/>
      <c r="R22" s="28"/>
      <c r="S22" s="26"/>
    </row>
    <row r="23" customFormat="false" ht="23.85" hidden="false" customHeight="false" outlineLevel="0" collapsed="false">
      <c r="A23" s="15" t="n">
        <v>19</v>
      </c>
      <c r="B23" s="5" t="s">
        <v>147</v>
      </c>
      <c r="C23" s="5" t="s">
        <v>54</v>
      </c>
      <c r="D23" s="5" t="s">
        <v>148</v>
      </c>
      <c r="E23" s="5" t="s">
        <v>149</v>
      </c>
      <c r="F23" s="5" t="s">
        <v>150</v>
      </c>
      <c r="G23" s="25" t="s">
        <v>80</v>
      </c>
      <c r="H23" s="26"/>
      <c r="I23" s="25" t="s">
        <v>25</v>
      </c>
      <c r="J23" s="25" t="n">
        <v>0</v>
      </c>
      <c r="K23" s="27" t="n">
        <f aca="false">IF(OR(I23="Diterapkan",I23="Tidak Berlaku (N/A)"),1,IF(I23="Dalam Proses",0.5,0))</f>
        <v>0</v>
      </c>
      <c r="L23" s="26"/>
      <c r="M23" s="26"/>
      <c r="N23" s="28"/>
      <c r="O23" s="28"/>
      <c r="P23" s="25" t="s">
        <v>89</v>
      </c>
      <c r="Q23" s="28"/>
      <c r="R23" s="28"/>
      <c r="S23" s="26"/>
    </row>
    <row r="24" customFormat="false" ht="23.85" hidden="false" customHeight="false" outlineLevel="0" collapsed="false">
      <c r="A24" s="15" t="n">
        <v>20</v>
      </c>
      <c r="B24" s="5" t="s">
        <v>151</v>
      </c>
      <c r="C24" s="5" t="s">
        <v>54</v>
      </c>
      <c r="D24" s="5" t="s">
        <v>148</v>
      </c>
      <c r="E24" s="5" t="s">
        <v>152</v>
      </c>
      <c r="F24" s="5" t="s">
        <v>153</v>
      </c>
      <c r="G24" s="25" t="s">
        <v>80</v>
      </c>
      <c r="H24" s="26"/>
      <c r="I24" s="25" t="s">
        <v>25</v>
      </c>
      <c r="J24" s="25" t="n">
        <v>0</v>
      </c>
      <c r="K24" s="27" t="n">
        <f aca="false">IF(OR(I24="Diterapkan",I24="Tidak Berlaku (N/A)"),1,IF(I24="Dalam Proses",0.5,0))</f>
        <v>0</v>
      </c>
      <c r="L24" s="26"/>
      <c r="M24" s="26"/>
      <c r="N24" s="28"/>
      <c r="O24" s="28"/>
      <c r="P24" s="25" t="s">
        <v>89</v>
      </c>
      <c r="Q24" s="28"/>
      <c r="R24" s="28"/>
      <c r="S24" s="26"/>
    </row>
    <row r="25" customFormat="false" ht="23.85" hidden="false" customHeight="false" outlineLevel="0" collapsed="false">
      <c r="A25" s="15" t="n">
        <v>21</v>
      </c>
      <c r="B25" s="5" t="s">
        <v>154</v>
      </c>
      <c r="C25" s="5" t="s">
        <v>54</v>
      </c>
      <c r="D25" s="5" t="s">
        <v>148</v>
      </c>
      <c r="E25" s="5" t="s">
        <v>155</v>
      </c>
      <c r="F25" s="5" t="s">
        <v>156</v>
      </c>
      <c r="G25" s="25" t="s">
        <v>80</v>
      </c>
      <c r="H25" s="26"/>
      <c r="I25" s="25" t="s">
        <v>25</v>
      </c>
      <c r="J25" s="25" t="n">
        <v>0</v>
      </c>
      <c r="K25" s="27" t="n">
        <f aca="false">IF(OR(I25="Diterapkan",I25="Tidak Berlaku (N/A)"),1,IF(I25="Dalam Proses",0.5,0))</f>
        <v>0</v>
      </c>
      <c r="L25" s="26"/>
      <c r="M25" s="26"/>
      <c r="N25" s="28"/>
      <c r="O25" s="28"/>
      <c r="P25" s="25" t="s">
        <v>89</v>
      </c>
      <c r="Q25" s="28"/>
      <c r="R25" s="28"/>
      <c r="S25" s="26"/>
    </row>
    <row r="26" customFormat="false" ht="23.85" hidden="false" customHeight="false" outlineLevel="0" collapsed="false">
      <c r="A26" s="15" t="n">
        <v>22</v>
      </c>
      <c r="B26" s="5" t="s">
        <v>157</v>
      </c>
      <c r="C26" s="5" t="s">
        <v>54</v>
      </c>
      <c r="D26" s="5" t="s">
        <v>148</v>
      </c>
      <c r="E26" s="5" t="s">
        <v>158</v>
      </c>
      <c r="F26" s="5" t="s">
        <v>159</v>
      </c>
      <c r="G26" s="25" t="s">
        <v>80</v>
      </c>
      <c r="H26" s="26"/>
      <c r="I26" s="25" t="s">
        <v>25</v>
      </c>
      <c r="J26" s="25" t="n">
        <v>0</v>
      </c>
      <c r="K26" s="27" t="n">
        <f aca="false">IF(OR(I26="Diterapkan",I26="Tidak Berlaku (N/A)"),1,IF(I26="Dalam Proses",0.5,0))</f>
        <v>0</v>
      </c>
      <c r="L26" s="26"/>
      <c r="M26" s="26"/>
      <c r="N26" s="28"/>
      <c r="O26" s="28"/>
      <c r="P26" s="25" t="s">
        <v>89</v>
      </c>
      <c r="Q26" s="28"/>
      <c r="R26" s="28"/>
      <c r="S26" s="26"/>
    </row>
    <row r="27" customFormat="false" ht="23.85" hidden="false" customHeight="false" outlineLevel="0" collapsed="false">
      <c r="A27" s="15" t="n">
        <v>23</v>
      </c>
      <c r="B27" s="5" t="s">
        <v>160</v>
      </c>
      <c r="C27" s="5" t="s">
        <v>54</v>
      </c>
      <c r="D27" s="5" t="s">
        <v>148</v>
      </c>
      <c r="E27" s="5" t="s">
        <v>161</v>
      </c>
      <c r="F27" s="5" t="s">
        <v>162</v>
      </c>
      <c r="G27" s="25" t="s">
        <v>80</v>
      </c>
      <c r="H27" s="26"/>
      <c r="I27" s="25" t="s">
        <v>25</v>
      </c>
      <c r="J27" s="25" t="n">
        <v>0</v>
      </c>
      <c r="K27" s="27" t="n">
        <f aca="false">IF(OR(I27="Diterapkan",I27="Tidak Berlaku (N/A)"),1,IF(I27="Dalam Proses",0.5,0))</f>
        <v>0</v>
      </c>
      <c r="L27" s="26"/>
      <c r="M27" s="26"/>
      <c r="N27" s="28"/>
      <c r="O27" s="28"/>
      <c r="P27" s="25" t="s">
        <v>89</v>
      </c>
      <c r="Q27" s="28"/>
      <c r="R27" s="28"/>
      <c r="S27" s="26"/>
    </row>
    <row r="28" customFormat="false" ht="23.85" hidden="false" customHeight="false" outlineLevel="0" collapsed="false">
      <c r="A28" s="15" t="n">
        <v>24</v>
      </c>
      <c r="B28" s="5" t="s">
        <v>163</v>
      </c>
      <c r="C28" s="5" t="s">
        <v>54</v>
      </c>
      <c r="D28" s="5" t="s">
        <v>164</v>
      </c>
      <c r="E28" s="5" t="s">
        <v>165</v>
      </c>
      <c r="F28" s="5" t="s">
        <v>166</v>
      </c>
      <c r="G28" s="25" t="s">
        <v>80</v>
      </c>
      <c r="H28" s="26"/>
      <c r="I28" s="25" t="s">
        <v>25</v>
      </c>
      <c r="J28" s="25" t="n">
        <v>0</v>
      </c>
      <c r="K28" s="27" t="n">
        <f aca="false">IF(OR(I28="Diterapkan",I28="Tidak Berlaku (N/A)"),1,IF(I28="Dalam Proses",0.5,0))</f>
        <v>0</v>
      </c>
      <c r="L28" s="26"/>
      <c r="M28" s="26"/>
      <c r="N28" s="28"/>
      <c r="O28" s="28"/>
      <c r="P28" s="25" t="s">
        <v>89</v>
      </c>
      <c r="Q28" s="28"/>
      <c r="R28" s="28"/>
      <c r="S28" s="26"/>
    </row>
    <row r="29" customFormat="false" ht="23.85" hidden="false" customHeight="false" outlineLevel="0" collapsed="false">
      <c r="A29" s="15" t="n">
        <v>25</v>
      </c>
      <c r="B29" s="5" t="s">
        <v>167</v>
      </c>
      <c r="C29" s="5" t="s">
        <v>54</v>
      </c>
      <c r="D29" s="5" t="s">
        <v>164</v>
      </c>
      <c r="E29" s="5" t="s">
        <v>168</v>
      </c>
      <c r="F29" s="5" t="s">
        <v>169</v>
      </c>
      <c r="G29" s="25" t="s">
        <v>80</v>
      </c>
      <c r="H29" s="26"/>
      <c r="I29" s="25" t="s">
        <v>25</v>
      </c>
      <c r="J29" s="25" t="n">
        <v>0</v>
      </c>
      <c r="K29" s="27" t="n">
        <f aca="false">IF(OR(I29="Diterapkan",I29="Tidak Berlaku (N/A)"),1,IF(I29="Dalam Proses",0.5,0))</f>
        <v>0</v>
      </c>
      <c r="L29" s="26"/>
      <c r="M29" s="26"/>
      <c r="N29" s="28"/>
      <c r="O29" s="28"/>
      <c r="P29" s="25" t="s">
        <v>89</v>
      </c>
      <c r="Q29" s="28"/>
      <c r="R29" s="28"/>
      <c r="S29" s="26"/>
    </row>
    <row r="30" customFormat="false" ht="23.85" hidden="false" customHeight="false" outlineLevel="0" collapsed="false">
      <c r="A30" s="15" t="n">
        <v>26</v>
      </c>
      <c r="B30" s="5" t="s">
        <v>170</v>
      </c>
      <c r="C30" s="5" t="s">
        <v>54</v>
      </c>
      <c r="D30" s="5" t="s">
        <v>164</v>
      </c>
      <c r="E30" s="5" t="s">
        <v>171</v>
      </c>
      <c r="F30" s="5" t="s">
        <v>172</v>
      </c>
      <c r="G30" s="25" t="s">
        <v>80</v>
      </c>
      <c r="H30" s="26"/>
      <c r="I30" s="25" t="s">
        <v>25</v>
      </c>
      <c r="J30" s="25" t="n">
        <v>0</v>
      </c>
      <c r="K30" s="27" t="n">
        <f aca="false">IF(OR(I30="Diterapkan",I30="Tidak Berlaku (N/A)"),1,IF(I30="Dalam Proses",0.5,0))</f>
        <v>0</v>
      </c>
      <c r="L30" s="26"/>
      <c r="M30" s="26"/>
      <c r="N30" s="28"/>
      <c r="O30" s="28"/>
      <c r="P30" s="25" t="s">
        <v>89</v>
      </c>
      <c r="Q30" s="28"/>
      <c r="R30" s="28"/>
      <c r="S30" s="26"/>
    </row>
    <row r="31" customFormat="false" ht="23.85" hidden="false" customHeight="false" outlineLevel="0" collapsed="false">
      <c r="A31" s="15" t="n">
        <v>27</v>
      </c>
      <c r="B31" s="5" t="s">
        <v>173</v>
      </c>
      <c r="C31" s="5" t="s">
        <v>54</v>
      </c>
      <c r="D31" s="5" t="s">
        <v>164</v>
      </c>
      <c r="E31" s="5" t="s">
        <v>174</v>
      </c>
      <c r="F31" s="5" t="s">
        <v>175</v>
      </c>
      <c r="G31" s="25" t="s">
        <v>80</v>
      </c>
      <c r="H31" s="26"/>
      <c r="I31" s="25" t="s">
        <v>25</v>
      </c>
      <c r="J31" s="25" t="n">
        <v>0</v>
      </c>
      <c r="K31" s="27" t="n">
        <f aca="false">IF(OR(I31="Diterapkan",I31="Tidak Berlaku (N/A)"),1,IF(I31="Dalam Proses",0.5,0))</f>
        <v>0</v>
      </c>
      <c r="L31" s="26"/>
      <c r="M31" s="26"/>
      <c r="N31" s="28"/>
      <c r="O31" s="28"/>
      <c r="P31" s="25" t="s">
        <v>89</v>
      </c>
      <c r="Q31" s="28"/>
      <c r="R31" s="28"/>
      <c r="S31" s="26"/>
    </row>
    <row r="32" customFormat="false" ht="23.85" hidden="false" customHeight="false" outlineLevel="0" collapsed="false">
      <c r="A32" s="15" t="n">
        <v>28</v>
      </c>
      <c r="B32" s="5" t="s">
        <v>176</v>
      </c>
      <c r="C32" s="5" t="s">
        <v>54</v>
      </c>
      <c r="D32" s="5" t="s">
        <v>164</v>
      </c>
      <c r="E32" s="5" t="s">
        <v>177</v>
      </c>
      <c r="F32" s="5" t="s">
        <v>178</v>
      </c>
      <c r="G32" s="25" t="s">
        <v>80</v>
      </c>
      <c r="H32" s="26"/>
      <c r="I32" s="25" t="s">
        <v>25</v>
      </c>
      <c r="J32" s="25" t="n">
        <v>0</v>
      </c>
      <c r="K32" s="27" t="n">
        <f aca="false">IF(OR(I32="Diterapkan",I32="Tidak Berlaku (N/A)"),1,IF(I32="Dalam Proses",0.5,0))</f>
        <v>0</v>
      </c>
      <c r="L32" s="26"/>
      <c r="M32" s="26"/>
      <c r="N32" s="28"/>
      <c r="O32" s="28"/>
      <c r="P32" s="25" t="s">
        <v>89</v>
      </c>
      <c r="Q32" s="28"/>
      <c r="R32" s="28"/>
      <c r="S32" s="26"/>
    </row>
    <row r="33" customFormat="false" ht="23.85" hidden="false" customHeight="false" outlineLevel="0" collapsed="false">
      <c r="A33" s="15" t="n">
        <v>29</v>
      </c>
      <c r="B33" s="5" t="s">
        <v>179</v>
      </c>
      <c r="C33" s="5" t="s">
        <v>54</v>
      </c>
      <c r="D33" s="5" t="s">
        <v>180</v>
      </c>
      <c r="E33" s="5" t="s">
        <v>181</v>
      </c>
      <c r="F33" s="5" t="s">
        <v>182</v>
      </c>
      <c r="G33" s="25" t="s">
        <v>80</v>
      </c>
      <c r="H33" s="26"/>
      <c r="I33" s="25" t="s">
        <v>25</v>
      </c>
      <c r="J33" s="25" t="n">
        <v>0</v>
      </c>
      <c r="K33" s="27" t="n">
        <f aca="false">IF(OR(I33="Diterapkan",I33="Tidak Berlaku (N/A)"),1,IF(I33="Dalam Proses",0.5,0))</f>
        <v>0</v>
      </c>
      <c r="L33" s="26"/>
      <c r="M33" s="26"/>
      <c r="N33" s="28"/>
      <c r="O33" s="28"/>
      <c r="P33" s="25" t="s">
        <v>89</v>
      </c>
      <c r="Q33" s="28"/>
      <c r="R33" s="28"/>
      <c r="S33" s="26"/>
    </row>
    <row r="34" customFormat="false" ht="23.85" hidden="false" customHeight="false" outlineLevel="0" collapsed="false">
      <c r="A34" s="15" t="n">
        <v>30</v>
      </c>
      <c r="B34" s="5" t="s">
        <v>183</v>
      </c>
      <c r="C34" s="5" t="s">
        <v>54</v>
      </c>
      <c r="D34" s="5" t="s">
        <v>180</v>
      </c>
      <c r="E34" s="5" t="s">
        <v>184</v>
      </c>
      <c r="F34" s="5" t="s">
        <v>185</v>
      </c>
      <c r="G34" s="25" t="s">
        <v>80</v>
      </c>
      <c r="H34" s="26"/>
      <c r="I34" s="25" t="s">
        <v>25</v>
      </c>
      <c r="J34" s="25" t="n">
        <v>0</v>
      </c>
      <c r="K34" s="27" t="n">
        <f aca="false">IF(OR(I34="Diterapkan",I34="Tidak Berlaku (N/A)"),1,IF(I34="Dalam Proses",0.5,0))</f>
        <v>0</v>
      </c>
      <c r="L34" s="26"/>
      <c r="M34" s="26"/>
      <c r="N34" s="28"/>
      <c r="O34" s="28"/>
      <c r="P34" s="25" t="s">
        <v>89</v>
      </c>
      <c r="Q34" s="28"/>
      <c r="R34" s="28"/>
      <c r="S34" s="26"/>
    </row>
    <row r="35" customFormat="false" ht="23.85" hidden="false" customHeight="false" outlineLevel="0" collapsed="false">
      <c r="A35" s="15" t="n">
        <v>31</v>
      </c>
      <c r="B35" s="5" t="s">
        <v>186</v>
      </c>
      <c r="C35" s="5" t="s">
        <v>54</v>
      </c>
      <c r="D35" s="5" t="s">
        <v>187</v>
      </c>
      <c r="E35" s="5" t="s">
        <v>188</v>
      </c>
      <c r="F35" s="5" t="s">
        <v>189</v>
      </c>
      <c r="G35" s="25" t="s">
        <v>80</v>
      </c>
      <c r="H35" s="26"/>
      <c r="I35" s="25" t="s">
        <v>25</v>
      </c>
      <c r="J35" s="25" t="n">
        <v>0</v>
      </c>
      <c r="K35" s="27" t="n">
        <f aca="false">IF(OR(I35="Diterapkan",I35="Tidak Berlaku (N/A)"),1,IF(I35="Dalam Proses",0.5,0))</f>
        <v>0</v>
      </c>
      <c r="L35" s="26"/>
      <c r="M35" s="26"/>
      <c r="N35" s="28"/>
      <c r="O35" s="28"/>
      <c r="P35" s="25" t="s">
        <v>89</v>
      </c>
      <c r="Q35" s="28"/>
      <c r="R35" s="28"/>
      <c r="S35" s="26"/>
    </row>
    <row r="36" customFormat="false" ht="23.85" hidden="false" customHeight="false" outlineLevel="0" collapsed="false">
      <c r="A36" s="15" t="n">
        <v>32</v>
      </c>
      <c r="B36" s="5" t="s">
        <v>190</v>
      </c>
      <c r="C36" s="5" t="s">
        <v>54</v>
      </c>
      <c r="D36" s="5" t="s">
        <v>187</v>
      </c>
      <c r="E36" s="5" t="s">
        <v>191</v>
      </c>
      <c r="F36" s="5" t="s">
        <v>192</v>
      </c>
      <c r="G36" s="25" t="s">
        <v>80</v>
      </c>
      <c r="H36" s="26"/>
      <c r="I36" s="25" t="s">
        <v>25</v>
      </c>
      <c r="J36" s="25" t="n">
        <v>0</v>
      </c>
      <c r="K36" s="27" t="n">
        <f aca="false">IF(OR(I36="Diterapkan",I36="Tidak Berlaku (N/A)"),1,IF(I36="Dalam Proses",0.5,0))</f>
        <v>0</v>
      </c>
      <c r="L36" s="26"/>
      <c r="M36" s="26"/>
      <c r="N36" s="28"/>
      <c r="O36" s="28"/>
      <c r="P36" s="25" t="s">
        <v>89</v>
      </c>
      <c r="Q36" s="28"/>
      <c r="R36" s="28"/>
      <c r="S36" s="26"/>
    </row>
    <row r="37" customFormat="false" ht="23.85" hidden="false" customHeight="false" outlineLevel="0" collapsed="false">
      <c r="A37" s="15" t="n">
        <v>33</v>
      </c>
      <c r="B37" s="5" t="s">
        <v>193</v>
      </c>
      <c r="C37" s="5" t="s">
        <v>54</v>
      </c>
      <c r="D37" s="5" t="s">
        <v>187</v>
      </c>
      <c r="E37" s="5" t="s">
        <v>194</v>
      </c>
      <c r="F37" s="5" t="s">
        <v>195</v>
      </c>
      <c r="G37" s="25" t="s">
        <v>80</v>
      </c>
      <c r="H37" s="26"/>
      <c r="I37" s="25" t="s">
        <v>25</v>
      </c>
      <c r="J37" s="25" t="n">
        <v>0</v>
      </c>
      <c r="K37" s="27" t="n">
        <f aca="false">IF(OR(I37="Diterapkan",I37="Tidak Berlaku (N/A)"),1,IF(I37="Dalam Proses",0.5,0))</f>
        <v>0</v>
      </c>
      <c r="L37" s="26"/>
      <c r="M37" s="26"/>
      <c r="N37" s="28"/>
      <c r="O37" s="28"/>
      <c r="P37" s="25" t="s">
        <v>89</v>
      </c>
      <c r="Q37" s="28"/>
      <c r="R37" s="28"/>
      <c r="S37" s="26"/>
    </row>
    <row r="38" customFormat="false" ht="23.85" hidden="false" customHeight="false" outlineLevel="0" collapsed="false">
      <c r="A38" s="15" t="n">
        <v>34</v>
      </c>
      <c r="B38" s="5" t="s">
        <v>196</v>
      </c>
      <c r="C38" s="5" t="s">
        <v>54</v>
      </c>
      <c r="D38" s="5" t="s">
        <v>187</v>
      </c>
      <c r="E38" s="5" t="s">
        <v>197</v>
      </c>
      <c r="F38" s="5" t="s">
        <v>198</v>
      </c>
      <c r="G38" s="25" t="s">
        <v>80</v>
      </c>
      <c r="H38" s="26"/>
      <c r="I38" s="25" t="s">
        <v>25</v>
      </c>
      <c r="J38" s="25" t="n">
        <v>0</v>
      </c>
      <c r="K38" s="27" t="n">
        <f aca="false">IF(OR(I38="Diterapkan",I38="Tidak Berlaku (N/A)"),1,IF(I38="Dalam Proses",0.5,0))</f>
        <v>0</v>
      </c>
      <c r="L38" s="26"/>
      <c r="M38" s="26"/>
      <c r="N38" s="28"/>
      <c r="O38" s="28"/>
      <c r="P38" s="25" t="s">
        <v>89</v>
      </c>
      <c r="Q38" s="28"/>
      <c r="R38" s="28"/>
      <c r="S38" s="26"/>
    </row>
    <row r="39" customFormat="false" ht="23.85" hidden="false" customHeight="false" outlineLevel="0" collapsed="false">
      <c r="A39" s="15" t="n">
        <v>35</v>
      </c>
      <c r="B39" s="5" t="s">
        <v>199</v>
      </c>
      <c r="C39" s="5" t="s">
        <v>54</v>
      </c>
      <c r="D39" s="5" t="s">
        <v>187</v>
      </c>
      <c r="E39" s="5" t="s">
        <v>200</v>
      </c>
      <c r="F39" s="5" t="s">
        <v>201</v>
      </c>
      <c r="G39" s="25" t="s">
        <v>80</v>
      </c>
      <c r="H39" s="26"/>
      <c r="I39" s="25" t="s">
        <v>25</v>
      </c>
      <c r="J39" s="25" t="n">
        <v>0</v>
      </c>
      <c r="K39" s="27" t="n">
        <f aca="false">IF(OR(I39="Diterapkan",I39="Tidak Berlaku (N/A)"),1,IF(I39="Dalam Proses",0.5,0))</f>
        <v>0</v>
      </c>
      <c r="L39" s="26"/>
      <c r="M39" s="26"/>
      <c r="N39" s="28"/>
      <c r="O39" s="28"/>
      <c r="P39" s="25" t="s">
        <v>89</v>
      </c>
      <c r="Q39" s="28"/>
      <c r="R39" s="28"/>
      <c r="S39" s="26"/>
    </row>
    <row r="40" customFormat="false" ht="23.85" hidden="false" customHeight="false" outlineLevel="0" collapsed="false">
      <c r="A40" s="15" t="n">
        <v>36</v>
      </c>
      <c r="B40" s="5" t="s">
        <v>202</v>
      </c>
      <c r="C40" s="5" t="s">
        <v>54</v>
      </c>
      <c r="D40" s="5" t="s">
        <v>187</v>
      </c>
      <c r="E40" s="5" t="s">
        <v>203</v>
      </c>
      <c r="F40" s="5" t="s">
        <v>204</v>
      </c>
      <c r="G40" s="25" t="s">
        <v>80</v>
      </c>
      <c r="H40" s="26"/>
      <c r="I40" s="25" t="s">
        <v>25</v>
      </c>
      <c r="J40" s="25" t="n">
        <v>0</v>
      </c>
      <c r="K40" s="27" t="n">
        <f aca="false">IF(OR(I40="Diterapkan",I40="Tidak Berlaku (N/A)"),1,IF(I40="Dalam Proses",0.5,0))</f>
        <v>0</v>
      </c>
      <c r="L40" s="26"/>
      <c r="M40" s="26"/>
      <c r="N40" s="28"/>
      <c r="O40" s="28"/>
      <c r="P40" s="25" t="s">
        <v>89</v>
      </c>
      <c r="Q40" s="28"/>
      <c r="R40" s="28"/>
      <c r="S40" s="26"/>
    </row>
    <row r="41" customFormat="false" ht="23.85" hidden="false" customHeight="false" outlineLevel="0" collapsed="false">
      <c r="A41" s="15" t="n">
        <v>37</v>
      </c>
      <c r="B41" s="5" t="s">
        <v>205</v>
      </c>
      <c r="C41" s="5" t="s">
        <v>54</v>
      </c>
      <c r="D41" s="5" t="s">
        <v>206</v>
      </c>
      <c r="E41" s="5" t="s">
        <v>207</v>
      </c>
      <c r="F41" s="5" t="s">
        <v>208</v>
      </c>
      <c r="G41" s="25" t="s">
        <v>80</v>
      </c>
      <c r="H41" s="26"/>
      <c r="I41" s="25" t="s">
        <v>25</v>
      </c>
      <c r="J41" s="25" t="n">
        <v>0</v>
      </c>
      <c r="K41" s="27" t="n">
        <f aca="false">IF(OR(I41="Diterapkan",I41="Tidak Berlaku (N/A)"),1,IF(I41="Dalam Proses",0.5,0))</f>
        <v>0</v>
      </c>
      <c r="L41" s="26"/>
      <c r="M41" s="26"/>
      <c r="N41" s="28"/>
      <c r="O41" s="28"/>
      <c r="P41" s="25" t="s">
        <v>89</v>
      </c>
      <c r="Q41" s="28"/>
      <c r="R41" s="28"/>
      <c r="S41" s="26"/>
    </row>
    <row r="42" customFormat="false" ht="23.85" hidden="false" customHeight="false" outlineLevel="0" collapsed="false">
      <c r="A42" s="15" t="n">
        <v>38</v>
      </c>
      <c r="B42" s="5" t="s">
        <v>209</v>
      </c>
      <c r="C42" s="5" t="s">
        <v>55</v>
      </c>
      <c r="D42" s="5" t="s">
        <v>210</v>
      </c>
      <c r="E42" s="5" t="s">
        <v>211</v>
      </c>
      <c r="F42" s="5" t="s">
        <v>212</v>
      </c>
      <c r="G42" s="25" t="s">
        <v>80</v>
      </c>
      <c r="H42" s="26"/>
      <c r="I42" s="25" t="s">
        <v>25</v>
      </c>
      <c r="J42" s="25" t="n">
        <v>0</v>
      </c>
      <c r="K42" s="27" t="n">
        <f aca="false">IF(OR(I42="Diterapkan",I42="Tidak Berlaku (N/A)"),1,IF(I42="Dalam Proses",0.5,0))</f>
        <v>0</v>
      </c>
      <c r="L42" s="26"/>
      <c r="M42" s="26"/>
      <c r="N42" s="28"/>
      <c r="O42" s="28"/>
      <c r="P42" s="25" t="s">
        <v>89</v>
      </c>
      <c r="Q42" s="28"/>
      <c r="R42" s="28"/>
      <c r="S42" s="26"/>
    </row>
    <row r="43" customFormat="false" ht="23.85" hidden="false" customHeight="false" outlineLevel="0" collapsed="false">
      <c r="A43" s="15" t="n">
        <v>39</v>
      </c>
      <c r="B43" s="5" t="s">
        <v>213</v>
      </c>
      <c r="C43" s="5" t="s">
        <v>55</v>
      </c>
      <c r="D43" s="5" t="s">
        <v>210</v>
      </c>
      <c r="E43" s="5" t="s">
        <v>214</v>
      </c>
      <c r="F43" s="5" t="s">
        <v>215</v>
      </c>
      <c r="G43" s="25" t="s">
        <v>80</v>
      </c>
      <c r="H43" s="26"/>
      <c r="I43" s="25" t="s">
        <v>25</v>
      </c>
      <c r="J43" s="25" t="n">
        <v>0</v>
      </c>
      <c r="K43" s="27" t="n">
        <f aca="false">IF(OR(I43="Diterapkan",I43="Tidak Berlaku (N/A)"),1,IF(I43="Dalam Proses",0.5,0))</f>
        <v>0</v>
      </c>
      <c r="L43" s="26"/>
      <c r="M43" s="26"/>
      <c r="N43" s="28"/>
      <c r="O43" s="28"/>
      <c r="P43" s="25" t="s">
        <v>89</v>
      </c>
      <c r="Q43" s="28"/>
      <c r="R43" s="28"/>
      <c r="S43" s="26"/>
    </row>
    <row r="44" customFormat="false" ht="23.85" hidden="false" customHeight="false" outlineLevel="0" collapsed="false">
      <c r="A44" s="15" t="n">
        <v>40</v>
      </c>
      <c r="B44" s="5" t="s">
        <v>216</v>
      </c>
      <c r="C44" s="5" t="s">
        <v>55</v>
      </c>
      <c r="D44" s="5" t="s">
        <v>217</v>
      </c>
      <c r="E44" s="5" t="s">
        <v>218</v>
      </c>
      <c r="F44" s="5" t="s">
        <v>219</v>
      </c>
      <c r="G44" s="25" t="s">
        <v>80</v>
      </c>
      <c r="H44" s="26"/>
      <c r="I44" s="25" t="s">
        <v>25</v>
      </c>
      <c r="J44" s="25" t="n">
        <v>0</v>
      </c>
      <c r="K44" s="27" t="n">
        <f aca="false">IF(OR(I44="Diterapkan",I44="Tidak Berlaku (N/A)"),1,IF(I44="Dalam Proses",0.5,0))</f>
        <v>0</v>
      </c>
      <c r="L44" s="26"/>
      <c r="M44" s="26"/>
      <c r="N44" s="28"/>
      <c r="O44" s="28"/>
      <c r="P44" s="25" t="s">
        <v>89</v>
      </c>
      <c r="Q44" s="28"/>
      <c r="R44" s="28"/>
      <c r="S44" s="26"/>
    </row>
    <row r="45" customFormat="false" ht="23.85" hidden="false" customHeight="false" outlineLevel="0" collapsed="false">
      <c r="A45" s="15" t="n">
        <v>41</v>
      </c>
      <c r="B45" s="5" t="s">
        <v>220</v>
      </c>
      <c r="C45" s="5" t="s">
        <v>55</v>
      </c>
      <c r="D45" s="5" t="s">
        <v>217</v>
      </c>
      <c r="E45" s="5" t="s">
        <v>221</v>
      </c>
      <c r="F45" s="5" t="s">
        <v>222</v>
      </c>
      <c r="G45" s="25" t="s">
        <v>80</v>
      </c>
      <c r="H45" s="26"/>
      <c r="I45" s="25" t="s">
        <v>25</v>
      </c>
      <c r="J45" s="25" t="n">
        <v>0</v>
      </c>
      <c r="K45" s="27" t="n">
        <f aca="false">IF(OR(I45="Diterapkan",I45="Tidak Berlaku (N/A)"),1,IF(I45="Dalam Proses",0.5,0))</f>
        <v>0</v>
      </c>
      <c r="L45" s="26"/>
      <c r="M45" s="26"/>
      <c r="N45" s="28"/>
      <c r="O45" s="28"/>
      <c r="P45" s="25" t="s">
        <v>89</v>
      </c>
      <c r="Q45" s="28"/>
      <c r="R45" s="28"/>
      <c r="S45" s="26"/>
    </row>
    <row r="46" customFormat="false" ht="23.85" hidden="false" customHeight="false" outlineLevel="0" collapsed="false">
      <c r="A46" s="15" t="n">
        <v>42</v>
      </c>
      <c r="B46" s="5" t="s">
        <v>223</v>
      </c>
      <c r="C46" s="5" t="s">
        <v>55</v>
      </c>
      <c r="D46" s="5" t="s">
        <v>224</v>
      </c>
      <c r="E46" s="5" t="s">
        <v>225</v>
      </c>
      <c r="F46" s="5" t="s">
        <v>226</v>
      </c>
      <c r="G46" s="25" t="s">
        <v>80</v>
      </c>
      <c r="H46" s="26"/>
      <c r="I46" s="25" t="s">
        <v>25</v>
      </c>
      <c r="J46" s="25" t="n">
        <v>0</v>
      </c>
      <c r="K46" s="27" t="n">
        <f aca="false">IF(OR(I46="Diterapkan",I46="Tidak Berlaku (N/A)"),1,IF(I46="Dalam Proses",0.5,0))</f>
        <v>0</v>
      </c>
      <c r="L46" s="26"/>
      <c r="M46" s="26"/>
      <c r="N46" s="28"/>
      <c r="O46" s="28"/>
      <c r="P46" s="25" t="s">
        <v>89</v>
      </c>
      <c r="Q46" s="28"/>
      <c r="R46" s="28"/>
      <c r="S46" s="26"/>
    </row>
    <row r="47" customFormat="false" ht="23.85" hidden="false" customHeight="false" outlineLevel="0" collapsed="false">
      <c r="A47" s="15" t="n">
        <v>43</v>
      </c>
      <c r="B47" s="5" t="s">
        <v>227</v>
      </c>
      <c r="C47" s="5" t="s">
        <v>55</v>
      </c>
      <c r="D47" s="5" t="s">
        <v>228</v>
      </c>
      <c r="E47" s="5" t="s">
        <v>229</v>
      </c>
      <c r="F47" s="5" t="s">
        <v>230</v>
      </c>
      <c r="G47" s="25" t="s">
        <v>80</v>
      </c>
      <c r="H47" s="26"/>
      <c r="I47" s="25" t="s">
        <v>25</v>
      </c>
      <c r="J47" s="25" t="n">
        <v>0</v>
      </c>
      <c r="K47" s="27" t="n">
        <f aca="false">IF(OR(I47="Diterapkan",I47="Tidak Berlaku (N/A)"),1,IF(I47="Dalam Proses",0.5,0))</f>
        <v>0</v>
      </c>
      <c r="L47" s="26"/>
      <c r="M47" s="26"/>
      <c r="N47" s="28"/>
      <c r="O47" s="28"/>
      <c r="P47" s="25" t="s">
        <v>89</v>
      </c>
      <c r="Q47" s="28"/>
      <c r="R47" s="28"/>
      <c r="S47" s="26"/>
    </row>
    <row r="48" customFormat="false" ht="23.85" hidden="false" customHeight="false" outlineLevel="0" collapsed="false">
      <c r="A48" s="15" t="n">
        <v>44</v>
      </c>
      <c r="B48" s="5" t="s">
        <v>231</v>
      </c>
      <c r="C48" s="5" t="s">
        <v>55</v>
      </c>
      <c r="D48" s="5" t="s">
        <v>232</v>
      </c>
      <c r="E48" s="5" t="s">
        <v>233</v>
      </c>
      <c r="F48" s="5" t="s">
        <v>234</v>
      </c>
      <c r="G48" s="25" t="s">
        <v>80</v>
      </c>
      <c r="H48" s="26"/>
      <c r="I48" s="25" t="s">
        <v>25</v>
      </c>
      <c r="J48" s="25" t="n">
        <v>0</v>
      </c>
      <c r="K48" s="27" t="n">
        <f aca="false">IF(OR(I48="Diterapkan",I48="Tidak Berlaku (N/A)"),1,IF(I48="Dalam Proses",0.5,0))</f>
        <v>0</v>
      </c>
      <c r="L48" s="26"/>
      <c r="M48" s="26"/>
      <c r="N48" s="28"/>
      <c r="O48" s="28"/>
      <c r="P48" s="25" t="s">
        <v>89</v>
      </c>
      <c r="Q48" s="28"/>
      <c r="R48" s="28"/>
      <c r="S48" s="26"/>
    </row>
    <row r="49" customFormat="false" ht="23.85" hidden="false" customHeight="false" outlineLevel="0" collapsed="false">
      <c r="A49" s="15" t="n">
        <v>45</v>
      </c>
      <c r="B49" s="5" t="s">
        <v>235</v>
      </c>
      <c r="C49" s="5" t="s">
        <v>55</v>
      </c>
      <c r="D49" s="5" t="s">
        <v>236</v>
      </c>
      <c r="E49" s="5" t="s">
        <v>237</v>
      </c>
      <c r="F49" s="5" t="s">
        <v>238</v>
      </c>
      <c r="G49" s="25" t="s">
        <v>80</v>
      </c>
      <c r="H49" s="26"/>
      <c r="I49" s="25" t="s">
        <v>25</v>
      </c>
      <c r="J49" s="25" t="n">
        <v>0</v>
      </c>
      <c r="K49" s="27" t="n">
        <f aca="false">IF(OR(I49="Diterapkan",I49="Tidak Berlaku (N/A)"),1,IF(I49="Dalam Proses",0.5,0))</f>
        <v>0</v>
      </c>
      <c r="L49" s="26"/>
      <c r="M49" s="26"/>
      <c r="N49" s="28"/>
      <c r="O49" s="28"/>
      <c r="P49" s="25" t="s">
        <v>89</v>
      </c>
      <c r="Q49" s="28"/>
      <c r="R49" s="28"/>
      <c r="S49" s="26"/>
    </row>
    <row r="50" customFormat="false" ht="23.85" hidden="false" customHeight="false" outlineLevel="0" collapsed="false">
      <c r="A50" s="15" t="n">
        <v>46</v>
      </c>
      <c r="B50" s="5" t="s">
        <v>239</v>
      </c>
      <c r="C50" s="5" t="s">
        <v>56</v>
      </c>
      <c r="D50" s="5" t="s">
        <v>240</v>
      </c>
      <c r="E50" s="5" t="s">
        <v>241</v>
      </c>
      <c r="F50" s="5" t="s">
        <v>242</v>
      </c>
      <c r="G50" s="25" t="s">
        <v>80</v>
      </c>
      <c r="H50" s="26"/>
      <c r="I50" s="25" t="s">
        <v>25</v>
      </c>
      <c r="J50" s="25" t="n">
        <v>0</v>
      </c>
      <c r="K50" s="27" t="n">
        <f aca="false">IF(OR(I50="Diterapkan",I50="Tidak Berlaku (N/A)"),1,IF(I50="Dalam Proses",0.5,0))</f>
        <v>0</v>
      </c>
      <c r="L50" s="26"/>
      <c r="M50" s="26"/>
      <c r="N50" s="28"/>
      <c r="O50" s="28"/>
      <c r="P50" s="25" t="s">
        <v>89</v>
      </c>
      <c r="Q50" s="28"/>
      <c r="R50" s="28"/>
      <c r="S50" s="26"/>
    </row>
    <row r="51" customFormat="false" ht="23.85" hidden="false" customHeight="false" outlineLevel="0" collapsed="false">
      <c r="A51" s="15" t="n">
        <v>47</v>
      </c>
      <c r="B51" s="5" t="s">
        <v>243</v>
      </c>
      <c r="C51" s="5" t="s">
        <v>56</v>
      </c>
      <c r="D51" s="5" t="s">
        <v>240</v>
      </c>
      <c r="E51" s="5" t="s">
        <v>244</v>
      </c>
      <c r="F51" s="5" t="s">
        <v>245</v>
      </c>
      <c r="G51" s="25" t="s">
        <v>80</v>
      </c>
      <c r="H51" s="26"/>
      <c r="I51" s="25" t="s">
        <v>25</v>
      </c>
      <c r="J51" s="25" t="n">
        <v>0</v>
      </c>
      <c r="K51" s="27" t="n">
        <f aca="false">IF(OR(I51="Diterapkan",I51="Tidak Berlaku (N/A)"),1,IF(I51="Dalam Proses",0.5,0))</f>
        <v>0</v>
      </c>
      <c r="L51" s="26"/>
      <c r="M51" s="26"/>
      <c r="N51" s="28"/>
      <c r="O51" s="28"/>
      <c r="P51" s="25" t="s">
        <v>89</v>
      </c>
      <c r="Q51" s="28"/>
      <c r="R51" s="28"/>
      <c r="S51" s="26"/>
    </row>
    <row r="52" customFormat="false" ht="23.85" hidden="false" customHeight="false" outlineLevel="0" collapsed="false">
      <c r="A52" s="15" t="n">
        <v>48</v>
      </c>
      <c r="B52" s="5" t="s">
        <v>246</v>
      </c>
      <c r="C52" s="5" t="s">
        <v>56</v>
      </c>
      <c r="D52" s="5" t="s">
        <v>240</v>
      </c>
      <c r="E52" s="5" t="s">
        <v>247</v>
      </c>
      <c r="F52" s="5" t="s">
        <v>248</v>
      </c>
      <c r="G52" s="25" t="s">
        <v>80</v>
      </c>
      <c r="H52" s="26"/>
      <c r="I52" s="25" t="s">
        <v>25</v>
      </c>
      <c r="J52" s="25" t="n">
        <v>0</v>
      </c>
      <c r="K52" s="27" t="n">
        <f aca="false">IF(OR(I52="Diterapkan",I52="Tidak Berlaku (N/A)"),1,IF(I52="Dalam Proses",0.5,0))</f>
        <v>0</v>
      </c>
      <c r="L52" s="26"/>
      <c r="M52" s="26"/>
      <c r="N52" s="28"/>
      <c r="O52" s="28"/>
      <c r="P52" s="25" t="s">
        <v>89</v>
      </c>
      <c r="Q52" s="28"/>
      <c r="R52" s="28"/>
      <c r="S52" s="26"/>
    </row>
    <row r="53" customFormat="false" ht="23.85" hidden="false" customHeight="false" outlineLevel="0" collapsed="false">
      <c r="A53" s="15" t="n">
        <v>49</v>
      </c>
      <c r="B53" s="5" t="s">
        <v>249</v>
      </c>
      <c r="C53" s="5" t="s">
        <v>56</v>
      </c>
      <c r="D53" s="5" t="s">
        <v>240</v>
      </c>
      <c r="E53" s="5" t="s">
        <v>250</v>
      </c>
      <c r="F53" s="5" t="s">
        <v>251</v>
      </c>
      <c r="G53" s="25" t="s">
        <v>80</v>
      </c>
      <c r="H53" s="26"/>
      <c r="I53" s="25" t="s">
        <v>25</v>
      </c>
      <c r="J53" s="25" t="n">
        <v>0</v>
      </c>
      <c r="K53" s="27" t="n">
        <f aca="false">IF(OR(I53="Diterapkan",I53="Tidak Berlaku (N/A)"),1,IF(I53="Dalam Proses",0.5,0))</f>
        <v>0</v>
      </c>
      <c r="L53" s="26"/>
      <c r="M53" s="26"/>
      <c r="N53" s="28"/>
      <c r="O53" s="28"/>
      <c r="P53" s="25" t="s">
        <v>89</v>
      </c>
      <c r="Q53" s="28"/>
      <c r="R53" s="28"/>
      <c r="S53" s="26"/>
    </row>
    <row r="54" customFormat="false" ht="23.85" hidden="false" customHeight="false" outlineLevel="0" collapsed="false">
      <c r="A54" s="15" t="n">
        <v>50</v>
      </c>
      <c r="B54" s="5" t="s">
        <v>252</v>
      </c>
      <c r="C54" s="5" t="s">
        <v>56</v>
      </c>
      <c r="D54" s="5" t="s">
        <v>240</v>
      </c>
      <c r="E54" s="5" t="s">
        <v>253</v>
      </c>
      <c r="F54" s="5" t="s">
        <v>254</v>
      </c>
      <c r="G54" s="25" t="s">
        <v>80</v>
      </c>
      <c r="H54" s="26"/>
      <c r="I54" s="25" t="s">
        <v>25</v>
      </c>
      <c r="J54" s="25" t="n">
        <v>0</v>
      </c>
      <c r="K54" s="27" t="n">
        <f aca="false">IF(OR(I54="Diterapkan",I54="Tidak Berlaku (N/A)"),1,IF(I54="Dalam Proses",0.5,0))</f>
        <v>0</v>
      </c>
      <c r="L54" s="26"/>
      <c r="M54" s="26"/>
      <c r="N54" s="28"/>
      <c r="O54" s="28"/>
      <c r="P54" s="25" t="s">
        <v>89</v>
      </c>
      <c r="Q54" s="28"/>
      <c r="R54" s="28"/>
      <c r="S54" s="26"/>
    </row>
    <row r="55" customFormat="false" ht="23.85" hidden="false" customHeight="false" outlineLevel="0" collapsed="false">
      <c r="A55" s="15" t="n">
        <v>51</v>
      </c>
      <c r="B55" s="5" t="s">
        <v>255</v>
      </c>
      <c r="C55" s="5" t="s">
        <v>56</v>
      </c>
      <c r="D55" s="5" t="s">
        <v>240</v>
      </c>
      <c r="E55" s="5" t="s">
        <v>256</v>
      </c>
      <c r="F55" s="5" t="s">
        <v>257</v>
      </c>
      <c r="G55" s="25" t="s">
        <v>80</v>
      </c>
      <c r="H55" s="26"/>
      <c r="I55" s="25" t="s">
        <v>25</v>
      </c>
      <c r="J55" s="25" t="n">
        <v>0</v>
      </c>
      <c r="K55" s="27" t="n">
        <f aca="false">IF(OR(I55="Diterapkan",I55="Tidak Berlaku (N/A)"),1,IF(I55="Dalam Proses",0.5,0))</f>
        <v>0</v>
      </c>
      <c r="L55" s="26"/>
      <c r="M55" s="26"/>
      <c r="N55" s="28"/>
      <c r="O55" s="28"/>
      <c r="P55" s="25" t="s">
        <v>89</v>
      </c>
      <c r="Q55" s="28"/>
      <c r="R55" s="28"/>
      <c r="S55" s="26"/>
    </row>
    <row r="56" customFormat="false" ht="23.85" hidden="false" customHeight="false" outlineLevel="0" collapsed="false">
      <c r="A56" s="15" t="n">
        <v>52</v>
      </c>
      <c r="B56" s="5" t="s">
        <v>258</v>
      </c>
      <c r="C56" s="5" t="s">
        <v>56</v>
      </c>
      <c r="D56" s="5" t="s">
        <v>240</v>
      </c>
      <c r="E56" s="5" t="s">
        <v>259</v>
      </c>
      <c r="F56" s="5" t="s">
        <v>260</v>
      </c>
      <c r="G56" s="25" t="s">
        <v>80</v>
      </c>
      <c r="H56" s="26"/>
      <c r="I56" s="25" t="s">
        <v>25</v>
      </c>
      <c r="J56" s="25" t="n">
        <v>0</v>
      </c>
      <c r="K56" s="27" t="n">
        <f aca="false">IF(OR(I56="Diterapkan",I56="Tidak Berlaku (N/A)"),1,IF(I56="Dalam Proses",0.5,0))</f>
        <v>0</v>
      </c>
      <c r="L56" s="26"/>
      <c r="M56" s="26"/>
      <c r="N56" s="28"/>
      <c r="O56" s="28"/>
      <c r="P56" s="25" t="s">
        <v>89</v>
      </c>
      <c r="Q56" s="28"/>
      <c r="R56" s="28"/>
      <c r="S56" s="26"/>
    </row>
    <row r="57" customFormat="false" ht="23.85" hidden="false" customHeight="false" outlineLevel="0" collapsed="false">
      <c r="A57" s="15" t="n">
        <v>53</v>
      </c>
      <c r="B57" s="5" t="s">
        <v>261</v>
      </c>
      <c r="C57" s="5" t="s">
        <v>56</v>
      </c>
      <c r="D57" s="5" t="s">
        <v>262</v>
      </c>
      <c r="E57" s="5" t="s">
        <v>263</v>
      </c>
      <c r="F57" s="5" t="s">
        <v>264</v>
      </c>
      <c r="G57" s="25" t="s">
        <v>80</v>
      </c>
      <c r="H57" s="26"/>
      <c r="I57" s="25" t="s">
        <v>25</v>
      </c>
      <c r="J57" s="25" t="n">
        <v>0</v>
      </c>
      <c r="K57" s="27" t="n">
        <f aca="false">IF(OR(I57="Diterapkan",I57="Tidak Berlaku (N/A)"),1,IF(I57="Dalam Proses",0.5,0))</f>
        <v>0</v>
      </c>
      <c r="L57" s="26"/>
      <c r="M57" s="26"/>
      <c r="N57" s="28"/>
      <c r="O57" s="28"/>
      <c r="P57" s="25" t="s">
        <v>89</v>
      </c>
      <c r="Q57" s="28"/>
      <c r="R57" s="28"/>
      <c r="S57" s="26"/>
    </row>
    <row r="58" customFormat="false" ht="23.85" hidden="false" customHeight="false" outlineLevel="0" collapsed="false">
      <c r="A58" s="15" t="n">
        <v>54</v>
      </c>
      <c r="B58" s="5" t="s">
        <v>265</v>
      </c>
      <c r="C58" s="5" t="s">
        <v>56</v>
      </c>
      <c r="D58" s="5" t="s">
        <v>262</v>
      </c>
      <c r="E58" s="5" t="s">
        <v>266</v>
      </c>
      <c r="F58" s="5" t="s">
        <v>267</v>
      </c>
      <c r="G58" s="25" t="s">
        <v>80</v>
      </c>
      <c r="H58" s="26"/>
      <c r="I58" s="25" t="s">
        <v>25</v>
      </c>
      <c r="J58" s="25" t="n">
        <v>0</v>
      </c>
      <c r="K58" s="27" t="n">
        <f aca="false">IF(OR(I58="Diterapkan",I58="Tidak Berlaku (N/A)"),1,IF(I58="Dalam Proses",0.5,0))</f>
        <v>0</v>
      </c>
      <c r="L58" s="26"/>
      <c r="M58" s="26"/>
      <c r="N58" s="28"/>
      <c r="O58" s="28"/>
      <c r="P58" s="25" t="s">
        <v>89</v>
      </c>
      <c r="Q58" s="28"/>
      <c r="R58" s="28"/>
      <c r="S58" s="26"/>
    </row>
    <row r="59" customFormat="false" ht="23.85" hidden="false" customHeight="false" outlineLevel="0" collapsed="false">
      <c r="A59" s="15" t="n">
        <v>55</v>
      </c>
      <c r="B59" s="5" t="s">
        <v>268</v>
      </c>
      <c r="C59" s="5" t="s">
        <v>56</v>
      </c>
      <c r="D59" s="5" t="s">
        <v>262</v>
      </c>
      <c r="E59" s="5" t="s">
        <v>269</v>
      </c>
      <c r="F59" s="5" t="s">
        <v>270</v>
      </c>
      <c r="G59" s="25" t="s">
        <v>80</v>
      </c>
      <c r="H59" s="26"/>
      <c r="I59" s="25" t="s">
        <v>25</v>
      </c>
      <c r="J59" s="25" t="n">
        <v>0</v>
      </c>
      <c r="K59" s="27" t="n">
        <f aca="false">IF(OR(I59="Diterapkan",I59="Tidak Berlaku (N/A)"),1,IF(I59="Dalam Proses",0.5,0))</f>
        <v>0</v>
      </c>
      <c r="L59" s="26"/>
      <c r="M59" s="26"/>
      <c r="N59" s="28"/>
      <c r="O59" s="28"/>
      <c r="P59" s="25" t="s">
        <v>89</v>
      </c>
      <c r="Q59" s="28"/>
      <c r="R59" s="28"/>
      <c r="S59" s="26"/>
    </row>
    <row r="60" customFormat="false" ht="23.85" hidden="false" customHeight="false" outlineLevel="0" collapsed="false">
      <c r="A60" s="15" t="n">
        <v>56</v>
      </c>
      <c r="B60" s="5" t="s">
        <v>271</v>
      </c>
      <c r="C60" s="5" t="s">
        <v>56</v>
      </c>
      <c r="D60" s="5" t="s">
        <v>262</v>
      </c>
      <c r="E60" s="5" t="s">
        <v>272</v>
      </c>
      <c r="F60" s="5" t="s">
        <v>273</v>
      </c>
      <c r="G60" s="25" t="s">
        <v>80</v>
      </c>
      <c r="H60" s="26"/>
      <c r="I60" s="25" t="s">
        <v>25</v>
      </c>
      <c r="J60" s="25" t="n">
        <v>0</v>
      </c>
      <c r="K60" s="27" t="n">
        <f aca="false">IF(OR(I60="Diterapkan",I60="Tidak Berlaku (N/A)"),1,IF(I60="Dalam Proses",0.5,0))</f>
        <v>0</v>
      </c>
      <c r="L60" s="26"/>
      <c r="M60" s="26"/>
      <c r="N60" s="28"/>
      <c r="O60" s="28"/>
      <c r="P60" s="25" t="s">
        <v>89</v>
      </c>
      <c r="Q60" s="28"/>
      <c r="R60" s="28"/>
      <c r="S60" s="26"/>
    </row>
    <row r="61" customFormat="false" ht="23.85" hidden="false" customHeight="false" outlineLevel="0" collapsed="false">
      <c r="A61" s="15" t="n">
        <v>57</v>
      </c>
      <c r="B61" s="5" t="s">
        <v>274</v>
      </c>
      <c r="C61" s="5" t="s">
        <v>56</v>
      </c>
      <c r="D61" s="5" t="s">
        <v>262</v>
      </c>
      <c r="E61" s="5" t="s">
        <v>275</v>
      </c>
      <c r="F61" s="5" t="s">
        <v>276</v>
      </c>
      <c r="G61" s="25" t="s">
        <v>80</v>
      </c>
      <c r="H61" s="26"/>
      <c r="I61" s="25" t="s">
        <v>25</v>
      </c>
      <c r="J61" s="25" t="n">
        <v>0</v>
      </c>
      <c r="K61" s="27" t="n">
        <f aca="false">IF(OR(I61="Diterapkan",I61="Tidak Berlaku (N/A)"),1,IF(I61="Dalam Proses",0.5,0))</f>
        <v>0</v>
      </c>
      <c r="L61" s="26"/>
      <c r="M61" s="26"/>
      <c r="N61" s="28"/>
      <c r="O61" s="28"/>
      <c r="P61" s="25" t="s">
        <v>89</v>
      </c>
      <c r="Q61" s="28"/>
      <c r="R61" s="28"/>
      <c r="S61" s="26"/>
    </row>
    <row r="62" customFormat="false" ht="23.85" hidden="false" customHeight="false" outlineLevel="0" collapsed="false">
      <c r="A62" s="15" t="n">
        <v>58</v>
      </c>
      <c r="B62" s="5" t="s">
        <v>277</v>
      </c>
      <c r="C62" s="5" t="s">
        <v>56</v>
      </c>
      <c r="D62" s="5" t="s">
        <v>262</v>
      </c>
      <c r="E62" s="5" t="s">
        <v>278</v>
      </c>
      <c r="F62" s="5" t="s">
        <v>279</v>
      </c>
      <c r="G62" s="25" t="s">
        <v>80</v>
      </c>
      <c r="H62" s="26"/>
      <c r="I62" s="25" t="s">
        <v>25</v>
      </c>
      <c r="J62" s="25" t="n">
        <v>0</v>
      </c>
      <c r="K62" s="27" t="n">
        <f aca="false">IF(OR(I62="Diterapkan",I62="Tidak Berlaku (N/A)"),1,IF(I62="Dalam Proses",0.5,0))</f>
        <v>0</v>
      </c>
      <c r="L62" s="26"/>
      <c r="M62" s="26"/>
      <c r="N62" s="28"/>
      <c r="O62" s="28"/>
      <c r="P62" s="25" t="s">
        <v>89</v>
      </c>
      <c r="Q62" s="28"/>
      <c r="R62" s="28"/>
      <c r="S62" s="26"/>
    </row>
    <row r="63" customFormat="false" ht="23.85" hidden="false" customHeight="false" outlineLevel="0" collapsed="false">
      <c r="A63" s="15" t="n">
        <v>59</v>
      </c>
      <c r="B63" s="5" t="s">
        <v>280</v>
      </c>
      <c r="C63" s="5" t="s">
        <v>56</v>
      </c>
      <c r="D63" s="5" t="s">
        <v>262</v>
      </c>
      <c r="E63" s="5" t="s">
        <v>281</v>
      </c>
      <c r="F63" s="5" t="s">
        <v>282</v>
      </c>
      <c r="G63" s="25" t="s">
        <v>80</v>
      </c>
      <c r="H63" s="26"/>
      <c r="I63" s="25" t="s">
        <v>25</v>
      </c>
      <c r="J63" s="25" t="n">
        <v>0</v>
      </c>
      <c r="K63" s="27" t="n">
        <f aca="false">IF(OR(I63="Diterapkan",I63="Tidak Berlaku (N/A)"),1,IF(I63="Dalam Proses",0.5,0))</f>
        <v>0</v>
      </c>
      <c r="L63" s="26"/>
      <c r="M63" s="26"/>
      <c r="N63" s="28"/>
      <c r="O63" s="28"/>
      <c r="P63" s="25" t="s">
        <v>89</v>
      </c>
      <c r="Q63" s="28"/>
      <c r="R63" s="28"/>
      <c r="S63" s="26"/>
    </row>
    <row r="64" customFormat="false" ht="23.85" hidden="false" customHeight="false" outlineLevel="0" collapsed="false">
      <c r="A64" s="15" t="n">
        <v>60</v>
      </c>
      <c r="B64" s="5" t="s">
        <v>283</v>
      </c>
      <c r="C64" s="5" t="s">
        <v>57</v>
      </c>
      <c r="D64" s="5" t="s">
        <v>284</v>
      </c>
      <c r="E64" s="5" t="s">
        <v>285</v>
      </c>
      <c r="F64" s="5" t="s">
        <v>286</v>
      </c>
      <c r="G64" s="25" t="s">
        <v>80</v>
      </c>
      <c r="H64" s="26"/>
      <c r="I64" s="25" t="s">
        <v>25</v>
      </c>
      <c r="J64" s="25" t="n">
        <v>0</v>
      </c>
      <c r="K64" s="27" t="n">
        <f aca="false">IF(OR(I64="Diterapkan",I64="Tidak Berlaku (N/A)"),1,IF(I64="Dalam Proses",0.5,0))</f>
        <v>0</v>
      </c>
      <c r="L64" s="26"/>
      <c r="M64" s="26"/>
      <c r="N64" s="28"/>
      <c r="O64" s="28"/>
      <c r="P64" s="25" t="s">
        <v>89</v>
      </c>
      <c r="Q64" s="28"/>
      <c r="R64" s="28"/>
      <c r="S64" s="26"/>
    </row>
    <row r="65" customFormat="false" ht="23.85" hidden="false" customHeight="false" outlineLevel="0" collapsed="false">
      <c r="A65" s="15" t="n">
        <v>61</v>
      </c>
      <c r="B65" s="5" t="s">
        <v>287</v>
      </c>
      <c r="C65" s="5" t="s">
        <v>57</v>
      </c>
      <c r="D65" s="5" t="s">
        <v>135</v>
      </c>
      <c r="E65" s="5" t="s">
        <v>288</v>
      </c>
      <c r="F65" s="5" t="s">
        <v>289</v>
      </c>
      <c r="G65" s="25" t="s">
        <v>80</v>
      </c>
      <c r="H65" s="26"/>
      <c r="I65" s="25" t="s">
        <v>25</v>
      </c>
      <c r="J65" s="25" t="n">
        <v>0</v>
      </c>
      <c r="K65" s="27" t="n">
        <f aca="false">IF(OR(I65="Diterapkan",I65="Tidak Berlaku (N/A)"),1,IF(I65="Dalam Proses",0.5,0))</f>
        <v>0</v>
      </c>
      <c r="L65" s="26"/>
      <c r="M65" s="26"/>
      <c r="N65" s="28"/>
      <c r="O65" s="28"/>
      <c r="P65" s="25" t="s">
        <v>89</v>
      </c>
      <c r="Q65" s="28"/>
      <c r="R65" s="28"/>
      <c r="S65" s="26"/>
    </row>
    <row r="66" customFormat="false" ht="23.85" hidden="false" customHeight="false" outlineLevel="0" collapsed="false">
      <c r="A66" s="15" t="n">
        <v>62</v>
      </c>
      <c r="B66" s="5" t="s">
        <v>290</v>
      </c>
      <c r="C66" s="5" t="s">
        <v>57</v>
      </c>
      <c r="D66" s="5" t="s">
        <v>135</v>
      </c>
      <c r="E66" s="5" t="s">
        <v>291</v>
      </c>
      <c r="F66" s="5" t="s">
        <v>292</v>
      </c>
      <c r="G66" s="25" t="s">
        <v>80</v>
      </c>
      <c r="H66" s="26"/>
      <c r="I66" s="25" t="s">
        <v>25</v>
      </c>
      <c r="J66" s="25" t="n">
        <v>0</v>
      </c>
      <c r="K66" s="27" t="n">
        <f aca="false">IF(OR(I66="Diterapkan",I66="Tidak Berlaku (N/A)"),1,IF(I66="Dalam Proses",0.5,0))</f>
        <v>0</v>
      </c>
      <c r="L66" s="26"/>
      <c r="M66" s="26"/>
      <c r="N66" s="28"/>
      <c r="O66" s="28"/>
      <c r="P66" s="25" t="s">
        <v>89</v>
      </c>
      <c r="Q66" s="28"/>
      <c r="R66" s="28"/>
      <c r="S66" s="26"/>
    </row>
    <row r="67" customFormat="false" ht="23.85" hidden="false" customHeight="false" outlineLevel="0" collapsed="false">
      <c r="A67" s="15" t="n">
        <v>63</v>
      </c>
      <c r="B67" s="5" t="s">
        <v>293</v>
      </c>
      <c r="C67" s="5" t="s">
        <v>57</v>
      </c>
      <c r="D67" s="5" t="s">
        <v>135</v>
      </c>
      <c r="E67" s="5" t="s">
        <v>294</v>
      </c>
      <c r="F67" s="5" t="s">
        <v>295</v>
      </c>
      <c r="G67" s="25" t="s">
        <v>80</v>
      </c>
      <c r="H67" s="26"/>
      <c r="I67" s="25" t="s">
        <v>25</v>
      </c>
      <c r="J67" s="25" t="n">
        <v>0</v>
      </c>
      <c r="K67" s="27" t="n">
        <f aca="false">IF(OR(I67="Diterapkan",I67="Tidak Berlaku (N/A)"),1,IF(I67="Dalam Proses",0.5,0))</f>
        <v>0</v>
      </c>
      <c r="L67" s="26"/>
      <c r="M67" s="26"/>
      <c r="N67" s="28"/>
      <c r="O67" s="28"/>
      <c r="P67" s="25" t="s">
        <v>89</v>
      </c>
      <c r="Q67" s="28"/>
      <c r="R67" s="28"/>
      <c r="S67" s="26"/>
    </row>
    <row r="68" customFormat="false" ht="23.85" hidden="false" customHeight="false" outlineLevel="0" collapsed="false">
      <c r="A68" s="15" t="n">
        <v>64</v>
      </c>
      <c r="B68" s="5" t="s">
        <v>296</v>
      </c>
      <c r="C68" s="5" t="s">
        <v>57</v>
      </c>
      <c r="D68" s="5" t="s">
        <v>135</v>
      </c>
      <c r="E68" s="5" t="s">
        <v>297</v>
      </c>
      <c r="F68" s="5" t="s">
        <v>298</v>
      </c>
      <c r="G68" s="25" t="s">
        <v>80</v>
      </c>
      <c r="H68" s="26"/>
      <c r="I68" s="25" t="s">
        <v>25</v>
      </c>
      <c r="J68" s="25" t="n">
        <v>0</v>
      </c>
      <c r="K68" s="27" t="n">
        <f aca="false">IF(OR(I68="Diterapkan",I68="Tidak Berlaku (N/A)"),1,IF(I68="Dalam Proses",0.5,0))</f>
        <v>0</v>
      </c>
      <c r="L68" s="26"/>
      <c r="M68" s="26"/>
      <c r="N68" s="28"/>
      <c r="O68" s="28"/>
      <c r="P68" s="25" t="s">
        <v>89</v>
      </c>
      <c r="Q68" s="28"/>
      <c r="R68" s="28"/>
      <c r="S68" s="26"/>
    </row>
    <row r="69" customFormat="false" ht="23.85" hidden="false" customHeight="false" outlineLevel="0" collapsed="false">
      <c r="A69" s="15" t="n">
        <v>65</v>
      </c>
      <c r="B69" s="5" t="s">
        <v>299</v>
      </c>
      <c r="C69" s="5" t="s">
        <v>57</v>
      </c>
      <c r="D69" s="5" t="s">
        <v>206</v>
      </c>
      <c r="E69" s="5" t="s">
        <v>300</v>
      </c>
      <c r="F69" s="5" t="s">
        <v>301</v>
      </c>
      <c r="G69" s="25" t="s">
        <v>80</v>
      </c>
      <c r="H69" s="26"/>
      <c r="I69" s="25" t="s">
        <v>25</v>
      </c>
      <c r="J69" s="25" t="n">
        <v>0</v>
      </c>
      <c r="K69" s="27" t="n">
        <f aca="false">IF(OR(I69="Diterapkan",I69="Tidak Berlaku (N/A)"),1,IF(I69="Dalam Proses",0.5,0))</f>
        <v>0</v>
      </c>
      <c r="L69" s="26"/>
      <c r="M69" s="26"/>
      <c r="N69" s="28"/>
      <c r="O69" s="28"/>
      <c r="P69" s="25" t="s">
        <v>89</v>
      </c>
      <c r="Q69" s="28"/>
      <c r="R69" s="28"/>
      <c r="S69" s="26"/>
    </row>
    <row r="70" customFormat="false" ht="23.85" hidden="false" customHeight="false" outlineLevel="0" collapsed="false">
      <c r="A70" s="15" t="n">
        <v>66</v>
      </c>
      <c r="B70" s="5" t="s">
        <v>302</v>
      </c>
      <c r="C70" s="5" t="s">
        <v>57</v>
      </c>
      <c r="D70" s="5" t="s">
        <v>206</v>
      </c>
      <c r="E70" s="5" t="s">
        <v>303</v>
      </c>
      <c r="F70" s="5" t="s">
        <v>304</v>
      </c>
      <c r="G70" s="25" t="s">
        <v>80</v>
      </c>
      <c r="H70" s="26"/>
      <c r="I70" s="25" t="s">
        <v>25</v>
      </c>
      <c r="J70" s="25" t="n">
        <v>0</v>
      </c>
      <c r="K70" s="27" t="n">
        <f aca="false">IF(OR(I70="Diterapkan",I70="Tidak Berlaku (N/A)"),1,IF(I70="Dalam Proses",0.5,0))</f>
        <v>0</v>
      </c>
      <c r="L70" s="26"/>
      <c r="M70" s="26"/>
      <c r="N70" s="28"/>
      <c r="O70" s="28"/>
      <c r="P70" s="25" t="s">
        <v>89</v>
      </c>
      <c r="Q70" s="28"/>
      <c r="R70" s="28"/>
      <c r="S70" s="26"/>
    </row>
    <row r="71" customFormat="false" ht="23.85" hidden="false" customHeight="false" outlineLevel="0" collapsed="false">
      <c r="A71" s="15" t="n">
        <v>67</v>
      </c>
      <c r="B71" s="5" t="s">
        <v>305</v>
      </c>
      <c r="C71" s="5" t="s">
        <v>57</v>
      </c>
      <c r="D71" s="5" t="s">
        <v>206</v>
      </c>
      <c r="E71" s="5" t="s">
        <v>306</v>
      </c>
      <c r="F71" s="5" t="s">
        <v>307</v>
      </c>
      <c r="G71" s="25" t="s">
        <v>80</v>
      </c>
      <c r="H71" s="26"/>
      <c r="I71" s="25" t="s">
        <v>25</v>
      </c>
      <c r="J71" s="25" t="n">
        <v>0</v>
      </c>
      <c r="K71" s="27" t="n">
        <f aca="false">IF(OR(I71="Diterapkan",I71="Tidak Berlaku (N/A)"),1,IF(I71="Dalam Proses",0.5,0))</f>
        <v>0</v>
      </c>
      <c r="L71" s="26"/>
      <c r="M71" s="26"/>
      <c r="N71" s="28"/>
      <c r="O71" s="28"/>
      <c r="P71" s="25" t="s">
        <v>89</v>
      </c>
      <c r="Q71" s="28"/>
      <c r="R71" s="28"/>
      <c r="S71" s="26"/>
    </row>
    <row r="72" customFormat="false" ht="23.85" hidden="false" customHeight="false" outlineLevel="0" collapsed="false">
      <c r="A72" s="15" t="n">
        <v>68</v>
      </c>
      <c r="B72" s="5" t="s">
        <v>308</v>
      </c>
      <c r="C72" s="5" t="s">
        <v>57</v>
      </c>
      <c r="D72" s="5" t="s">
        <v>206</v>
      </c>
      <c r="E72" s="5" t="s">
        <v>309</v>
      </c>
      <c r="F72" s="5" t="s">
        <v>310</v>
      </c>
      <c r="G72" s="25" t="s">
        <v>80</v>
      </c>
      <c r="H72" s="26"/>
      <c r="I72" s="25" t="s">
        <v>25</v>
      </c>
      <c r="J72" s="25" t="n">
        <v>0</v>
      </c>
      <c r="K72" s="27" t="n">
        <f aca="false">IF(OR(I72="Diterapkan",I72="Tidak Berlaku (N/A)"),1,IF(I72="Dalam Proses",0.5,0))</f>
        <v>0</v>
      </c>
      <c r="L72" s="26"/>
      <c r="M72" s="26"/>
      <c r="N72" s="28"/>
      <c r="O72" s="28"/>
      <c r="P72" s="25" t="s">
        <v>89</v>
      </c>
      <c r="Q72" s="28"/>
      <c r="R72" s="28"/>
      <c r="S72" s="26"/>
    </row>
    <row r="73" customFormat="false" ht="23.85" hidden="false" customHeight="false" outlineLevel="0" collapsed="false">
      <c r="A73" s="15" t="n">
        <v>69</v>
      </c>
      <c r="B73" s="5" t="s">
        <v>311</v>
      </c>
      <c r="C73" s="5" t="s">
        <v>57</v>
      </c>
      <c r="D73" s="5" t="s">
        <v>206</v>
      </c>
      <c r="E73" s="5" t="s">
        <v>312</v>
      </c>
      <c r="F73" s="5" t="s">
        <v>313</v>
      </c>
      <c r="G73" s="25" t="s">
        <v>80</v>
      </c>
      <c r="H73" s="26"/>
      <c r="I73" s="25" t="s">
        <v>25</v>
      </c>
      <c r="J73" s="25" t="n">
        <v>0</v>
      </c>
      <c r="K73" s="27" t="n">
        <f aca="false">IF(OR(I73="Diterapkan",I73="Tidak Berlaku (N/A)"),1,IF(I73="Dalam Proses",0.5,0))</f>
        <v>0</v>
      </c>
      <c r="L73" s="26"/>
      <c r="M73" s="26"/>
      <c r="N73" s="28"/>
      <c r="O73" s="28"/>
      <c r="P73" s="25" t="s">
        <v>89</v>
      </c>
      <c r="Q73" s="28"/>
      <c r="R73" s="28"/>
      <c r="S73" s="26"/>
    </row>
    <row r="74" customFormat="false" ht="23.85" hidden="false" customHeight="false" outlineLevel="0" collapsed="false">
      <c r="A74" s="15" t="n">
        <v>70</v>
      </c>
      <c r="B74" s="5" t="s">
        <v>314</v>
      </c>
      <c r="C74" s="5" t="s">
        <v>57</v>
      </c>
      <c r="D74" s="5" t="s">
        <v>206</v>
      </c>
      <c r="E74" s="5" t="s">
        <v>315</v>
      </c>
      <c r="F74" s="5" t="s">
        <v>316</v>
      </c>
      <c r="G74" s="25" t="s">
        <v>80</v>
      </c>
      <c r="H74" s="26"/>
      <c r="I74" s="25" t="s">
        <v>25</v>
      </c>
      <c r="J74" s="25" t="n">
        <v>0</v>
      </c>
      <c r="K74" s="27" t="n">
        <f aca="false">IF(OR(I74="Diterapkan",I74="Tidak Berlaku (N/A)"),1,IF(I74="Dalam Proses",0.5,0))</f>
        <v>0</v>
      </c>
      <c r="L74" s="26"/>
      <c r="M74" s="26"/>
      <c r="N74" s="28"/>
      <c r="O74" s="28"/>
      <c r="P74" s="25" t="s">
        <v>89</v>
      </c>
      <c r="Q74" s="28"/>
      <c r="R74" s="28"/>
      <c r="S74" s="26"/>
    </row>
    <row r="75" customFormat="false" ht="23.85" hidden="false" customHeight="false" outlineLevel="0" collapsed="false">
      <c r="A75" s="15" t="n">
        <v>71</v>
      </c>
      <c r="B75" s="5" t="s">
        <v>317</v>
      </c>
      <c r="C75" s="5" t="s">
        <v>57</v>
      </c>
      <c r="D75" s="5" t="s">
        <v>206</v>
      </c>
      <c r="E75" s="5" t="s">
        <v>318</v>
      </c>
      <c r="F75" s="5" t="s">
        <v>319</v>
      </c>
      <c r="G75" s="25" t="s">
        <v>80</v>
      </c>
      <c r="H75" s="26"/>
      <c r="I75" s="25" t="s">
        <v>25</v>
      </c>
      <c r="J75" s="25" t="n">
        <v>0</v>
      </c>
      <c r="K75" s="27" t="n">
        <f aca="false">IF(OR(I75="Diterapkan",I75="Tidak Berlaku (N/A)"),1,IF(I75="Dalam Proses",0.5,0))</f>
        <v>0</v>
      </c>
      <c r="L75" s="26"/>
      <c r="M75" s="26"/>
      <c r="N75" s="28"/>
      <c r="O75" s="28"/>
      <c r="P75" s="25" t="s">
        <v>89</v>
      </c>
      <c r="Q75" s="28"/>
      <c r="R75" s="28"/>
      <c r="S75" s="26"/>
    </row>
    <row r="76" customFormat="false" ht="23.85" hidden="false" customHeight="false" outlineLevel="0" collapsed="false">
      <c r="A76" s="15" t="n">
        <v>72</v>
      </c>
      <c r="B76" s="5" t="s">
        <v>320</v>
      </c>
      <c r="C76" s="5" t="s">
        <v>57</v>
      </c>
      <c r="D76" s="5" t="s">
        <v>206</v>
      </c>
      <c r="E76" s="5" t="s">
        <v>321</v>
      </c>
      <c r="F76" s="5" t="s">
        <v>322</v>
      </c>
      <c r="G76" s="25" t="s">
        <v>80</v>
      </c>
      <c r="H76" s="26"/>
      <c r="I76" s="25" t="s">
        <v>25</v>
      </c>
      <c r="J76" s="25" t="n">
        <v>0</v>
      </c>
      <c r="K76" s="27" t="n">
        <f aca="false">IF(OR(I76="Diterapkan",I76="Tidak Berlaku (N/A)"),1,IF(I76="Dalam Proses",0.5,0))</f>
        <v>0</v>
      </c>
      <c r="L76" s="26"/>
      <c r="M76" s="26"/>
      <c r="N76" s="28"/>
      <c r="O76" s="28"/>
      <c r="P76" s="25" t="s">
        <v>89</v>
      </c>
      <c r="Q76" s="28"/>
      <c r="R76" s="28"/>
      <c r="S76" s="26"/>
    </row>
    <row r="77" customFormat="false" ht="23.85" hidden="false" customHeight="false" outlineLevel="0" collapsed="false">
      <c r="A77" s="15" t="n">
        <v>73</v>
      </c>
      <c r="B77" s="5" t="s">
        <v>323</v>
      </c>
      <c r="C77" s="5" t="s">
        <v>57</v>
      </c>
      <c r="D77" s="5" t="s">
        <v>206</v>
      </c>
      <c r="E77" s="5" t="s">
        <v>324</v>
      </c>
      <c r="F77" s="5" t="s">
        <v>325</v>
      </c>
      <c r="G77" s="25" t="s">
        <v>80</v>
      </c>
      <c r="H77" s="26"/>
      <c r="I77" s="25" t="s">
        <v>25</v>
      </c>
      <c r="J77" s="25" t="n">
        <v>0</v>
      </c>
      <c r="K77" s="27" t="n">
        <f aca="false">IF(OR(I77="Diterapkan",I77="Tidak Berlaku (N/A)"),1,IF(I77="Dalam Proses",0.5,0))</f>
        <v>0</v>
      </c>
      <c r="L77" s="26"/>
      <c r="M77" s="26"/>
      <c r="N77" s="28"/>
      <c r="O77" s="28"/>
      <c r="P77" s="25" t="s">
        <v>89</v>
      </c>
      <c r="Q77" s="28"/>
      <c r="R77" s="28"/>
      <c r="S77" s="26"/>
    </row>
    <row r="78" customFormat="false" ht="23.85" hidden="false" customHeight="false" outlineLevel="0" collapsed="false">
      <c r="A78" s="15" t="n">
        <v>74</v>
      </c>
      <c r="B78" s="5" t="s">
        <v>326</v>
      </c>
      <c r="C78" s="5" t="s">
        <v>57</v>
      </c>
      <c r="D78" s="5" t="s">
        <v>206</v>
      </c>
      <c r="E78" s="5" t="s">
        <v>327</v>
      </c>
      <c r="F78" s="5" t="s">
        <v>328</v>
      </c>
      <c r="G78" s="25" t="s">
        <v>80</v>
      </c>
      <c r="H78" s="26"/>
      <c r="I78" s="25" t="s">
        <v>25</v>
      </c>
      <c r="J78" s="25" t="n">
        <v>0</v>
      </c>
      <c r="K78" s="27" t="n">
        <f aca="false">IF(OR(I78="Diterapkan",I78="Tidak Berlaku (N/A)"),1,IF(I78="Dalam Proses",0.5,0))</f>
        <v>0</v>
      </c>
      <c r="L78" s="26"/>
      <c r="M78" s="26"/>
      <c r="N78" s="28"/>
      <c r="O78" s="28"/>
      <c r="P78" s="25" t="s">
        <v>89</v>
      </c>
      <c r="Q78" s="28"/>
      <c r="R78" s="28"/>
      <c r="S78" s="26"/>
    </row>
    <row r="79" customFormat="false" ht="23.85" hidden="false" customHeight="false" outlineLevel="0" collapsed="false">
      <c r="A79" s="15" t="n">
        <v>75</v>
      </c>
      <c r="B79" s="5" t="s">
        <v>329</v>
      </c>
      <c r="C79" s="5" t="s">
        <v>57</v>
      </c>
      <c r="D79" s="5" t="s">
        <v>206</v>
      </c>
      <c r="E79" s="5" t="s">
        <v>330</v>
      </c>
      <c r="F79" s="5" t="s">
        <v>331</v>
      </c>
      <c r="G79" s="25" t="s">
        <v>80</v>
      </c>
      <c r="H79" s="26"/>
      <c r="I79" s="25" t="s">
        <v>25</v>
      </c>
      <c r="J79" s="25" t="n">
        <v>0</v>
      </c>
      <c r="K79" s="27" t="n">
        <f aca="false">IF(OR(I79="Diterapkan",I79="Tidak Berlaku (N/A)"),1,IF(I79="Dalam Proses",0.5,0))</f>
        <v>0</v>
      </c>
      <c r="L79" s="26"/>
      <c r="M79" s="26"/>
      <c r="N79" s="28"/>
      <c r="O79" s="28"/>
      <c r="P79" s="25" t="s">
        <v>89</v>
      </c>
      <c r="Q79" s="28"/>
      <c r="R79" s="28"/>
      <c r="S79" s="26"/>
    </row>
    <row r="80" customFormat="false" ht="23.85" hidden="false" customHeight="false" outlineLevel="0" collapsed="false">
      <c r="A80" s="15" t="n">
        <v>76</v>
      </c>
      <c r="B80" s="5" t="s">
        <v>332</v>
      </c>
      <c r="C80" s="5" t="s">
        <v>57</v>
      </c>
      <c r="D80" s="5" t="s">
        <v>206</v>
      </c>
      <c r="E80" s="5" t="s">
        <v>333</v>
      </c>
      <c r="F80" s="5" t="s">
        <v>334</v>
      </c>
      <c r="G80" s="25" t="s">
        <v>80</v>
      </c>
      <c r="H80" s="26"/>
      <c r="I80" s="25" t="s">
        <v>25</v>
      </c>
      <c r="J80" s="25" t="n">
        <v>0</v>
      </c>
      <c r="K80" s="27" t="n">
        <f aca="false">IF(OR(I80="Diterapkan",I80="Tidak Berlaku (N/A)"),1,IF(I80="Dalam Proses",0.5,0))</f>
        <v>0</v>
      </c>
      <c r="L80" s="26"/>
      <c r="M80" s="26"/>
      <c r="N80" s="28"/>
      <c r="O80" s="28"/>
      <c r="P80" s="25" t="s">
        <v>89</v>
      </c>
      <c r="Q80" s="28"/>
      <c r="R80" s="28"/>
      <c r="S80" s="26"/>
    </row>
    <row r="81" customFormat="false" ht="23.85" hidden="false" customHeight="false" outlineLevel="0" collapsed="false">
      <c r="A81" s="15" t="n">
        <v>77</v>
      </c>
      <c r="B81" s="5" t="s">
        <v>335</v>
      </c>
      <c r="C81" s="5" t="s">
        <v>57</v>
      </c>
      <c r="D81" s="5" t="s">
        <v>206</v>
      </c>
      <c r="E81" s="5" t="s">
        <v>336</v>
      </c>
      <c r="F81" s="5" t="s">
        <v>337</v>
      </c>
      <c r="G81" s="25" t="s">
        <v>80</v>
      </c>
      <c r="H81" s="26"/>
      <c r="I81" s="25" t="s">
        <v>25</v>
      </c>
      <c r="J81" s="25" t="n">
        <v>0</v>
      </c>
      <c r="K81" s="27" t="n">
        <f aca="false">IF(OR(I81="Diterapkan",I81="Tidak Berlaku (N/A)"),1,IF(I81="Dalam Proses",0.5,0))</f>
        <v>0</v>
      </c>
      <c r="L81" s="26"/>
      <c r="M81" s="26"/>
      <c r="N81" s="28"/>
      <c r="O81" s="28"/>
      <c r="P81" s="25" t="s">
        <v>89</v>
      </c>
      <c r="Q81" s="28"/>
      <c r="R81" s="28"/>
      <c r="S81" s="26"/>
    </row>
    <row r="82" customFormat="false" ht="23.85" hidden="false" customHeight="false" outlineLevel="0" collapsed="false">
      <c r="A82" s="15" t="n">
        <v>78</v>
      </c>
      <c r="B82" s="5" t="s">
        <v>338</v>
      </c>
      <c r="C82" s="5" t="s">
        <v>57</v>
      </c>
      <c r="D82" s="5" t="s">
        <v>206</v>
      </c>
      <c r="E82" s="5" t="s">
        <v>339</v>
      </c>
      <c r="F82" s="5" t="s">
        <v>340</v>
      </c>
      <c r="G82" s="25" t="s">
        <v>80</v>
      </c>
      <c r="H82" s="26"/>
      <c r="I82" s="25" t="s">
        <v>25</v>
      </c>
      <c r="J82" s="25" t="n">
        <v>0</v>
      </c>
      <c r="K82" s="27" t="n">
        <f aca="false">IF(OR(I82="Diterapkan",I82="Tidak Berlaku (N/A)"),1,IF(I82="Dalam Proses",0.5,0))</f>
        <v>0</v>
      </c>
      <c r="L82" s="26"/>
      <c r="M82" s="26"/>
      <c r="N82" s="28"/>
      <c r="O82" s="28"/>
      <c r="P82" s="25" t="s">
        <v>89</v>
      </c>
      <c r="Q82" s="28"/>
      <c r="R82" s="28"/>
      <c r="S82" s="26"/>
    </row>
    <row r="83" customFormat="false" ht="23.85" hidden="false" customHeight="false" outlineLevel="0" collapsed="false">
      <c r="A83" s="15" t="n">
        <v>79</v>
      </c>
      <c r="B83" s="5" t="s">
        <v>341</v>
      </c>
      <c r="C83" s="5" t="s">
        <v>57</v>
      </c>
      <c r="D83" s="5" t="s">
        <v>342</v>
      </c>
      <c r="E83" s="5" t="s">
        <v>343</v>
      </c>
      <c r="F83" s="5" t="s">
        <v>344</v>
      </c>
      <c r="G83" s="25" t="s">
        <v>80</v>
      </c>
      <c r="H83" s="26"/>
      <c r="I83" s="25" t="s">
        <v>25</v>
      </c>
      <c r="J83" s="25" t="n">
        <v>0</v>
      </c>
      <c r="K83" s="27" t="n">
        <f aca="false">IF(OR(I83="Diterapkan",I83="Tidak Berlaku (N/A)"),1,IF(I83="Dalam Proses",0.5,0))</f>
        <v>0</v>
      </c>
      <c r="L83" s="26"/>
      <c r="M83" s="26"/>
      <c r="N83" s="28"/>
      <c r="O83" s="28"/>
      <c r="P83" s="25" t="s">
        <v>89</v>
      </c>
      <c r="Q83" s="28"/>
      <c r="R83" s="28"/>
      <c r="S83" s="26"/>
    </row>
    <row r="84" customFormat="false" ht="23.85" hidden="false" customHeight="false" outlineLevel="0" collapsed="false">
      <c r="A84" s="15" t="n">
        <v>80</v>
      </c>
      <c r="B84" s="5" t="s">
        <v>345</v>
      </c>
      <c r="C84" s="5" t="s">
        <v>57</v>
      </c>
      <c r="D84" s="5" t="s">
        <v>342</v>
      </c>
      <c r="E84" s="5" t="s">
        <v>346</v>
      </c>
      <c r="F84" s="5" t="s">
        <v>347</v>
      </c>
      <c r="G84" s="25" t="s">
        <v>80</v>
      </c>
      <c r="H84" s="26"/>
      <c r="I84" s="25" t="s">
        <v>25</v>
      </c>
      <c r="J84" s="25" t="n">
        <v>0</v>
      </c>
      <c r="K84" s="27" t="n">
        <f aca="false">IF(OR(I84="Diterapkan",I84="Tidak Berlaku (N/A)"),1,IF(I84="Dalam Proses",0.5,0))</f>
        <v>0</v>
      </c>
      <c r="L84" s="26"/>
      <c r="M84" s="26"/>
      <c r="N84" s="28"/>
      <c r="O84" s="28"/>
      <c r="P84" s="25" t="s">
        <v>89</v>
      </c>
      <c r="Q84" s="28"/>
      <c r="R84" s="28"/>
      <c r="S84" s="26"/>
    </row>
    <row r="85" customFormat="false" ht="23.85" hidden="false" customHeight="false" outlineLevel="0" collapsed="false">
      <c r="A85" s="15" t="n">
        <v>81</v>
      </c>
      <c r="B85" s="5" t="s">
        <v>348</v>
      </c>
      <c r="C85" s="5" t="s">
        <v>57</v>
      </c>
      <c r="D85" s="5" t="s">
        <v>342</v>
      </c>
      <c r="E85" s="5" t="s">
        <v>349</v>
      </c>
      <c r="F85" s="5" t="s">
        <v>350</v>
      </c>
      <c r="G85" s="25" t="s">
        <v>80</v>
      </c>
      <c r="H85" s="26"/>
      <c r="I85" s="25" t="s">
        <v>25</v>
      </c>
      <c r="J85" s="25" t="n">
        <v>0</v>
      </c>
      <c r="K85" s="27" t="n">
        <f aca="false">IF(OR(I85="Diterapkan",I85="Tidak Berlaku (N/A)"),1,IF(I85="Dalam Proses",0.5,0))</f>
        <v>0</v>
      </c>
      <c r="L85" s="26"/>
      <c r="M85" s="26"/>
      <c r="N85" s="28"/>
      <c r="O85" s="28"/>
      <c r="P85" s="25" t="s">
        <v>89</v>
      </c>
      <c r="Q85" s="28"/>
      <c r="R85" s="28"/>
      <c r="S85" s="26"/>
    </row>
    <row r="86" customFormat="false" ht="23.85" hidden="false" customHeight="false" outlineLevel="0" collapsed="false">
      <c r="A86" s="15" t="n">
        <v>82</v>
      </c>
      <c r="B86" s="5" t="s">
        <v>351</v>
      </c>
      <c r="C86" s="5" t="s">
        <v>57</v>
      </c>
      <c r="D86" s="5" t="s">
        <v>342</v>
      </c>
      <c r="E86" s="5" t="s">
        <v>352</v>
      </c>
      <c r="F86" s="5" t="s">
        <v>353</v>
      </c>
      <c r="G86" s="25" t="s">
        <v>80</v>
      </c>
      <c r="H86" s="26"/>
      <c r="I86" s="25" t="s">
        <v>25</v>
      </c>
      <c r="J86" s="25" t="n">
        <v>0</v>
      </c>
      <c r="K86" s="27" t="n">
        <f aca="false">IF(OR(I86="Diterapkan",I86="Tidak Berlaku (N/A)"),1,IF(I86="Dalam Proses",0.5,0))</f>
        <v>0</v>
      </c>
      <c r="L86" s="26"/>
      <c r="M86" s="26"/>
      <c r="N86" s="28"/>
      <c r="O86" s="28"/>
      <c r="P86" s="25" t="s">
        <v>89</v>
      </c>
      <c r="Q86" s="28"/>
      <c r="R86" s="28"/>
      <c r="S86" s="26"/>
    </row>
    <row r="87" customFormat="false" ht="23.85" hidden="false" customHeight="false" outlineLevel="0" collapsed="false">
      <c r="A87" s="15" t="n">
        <v>83</v>
      </c>
      <c r="B87" s="5" t="s">
        <v>354</v>
      </c>
      <c r="C87" s="5" t="s">
        <v>57</v>
      </c>
      <c r="D87" s="5" t="s">
        <v>355</v>
      </c>
      <c r="E87" s="5" t="s">
        <v>356</v>
      </c>
      <c r="F87" s="5" t="s">
        <v>357</v>
      </c>
      <c r="G87" s="25" t="s">
        <v>80</v>
      </c>
      <c r="H87" s="26"/>
      <c r="I87" s="25" t="s">
        <v>25</v>
      </c>
      <c r="J87" s="25" t="n">
        <v>0</v>
      </c>
      <c r="K87" s="27" t="n">
        <f aca="false">IF(OR(I87="Diterapkan",I87="Tidak Berlaku (N/A)"),1,IF(I87="Dalam Proses",0.5,0))</f>
        <v>0</v>
      </c>
      <c r="L87" s="26"/>
      <c r="M87" s="26"/>
      <c r="N87" s="28"/>
      <c r="O87" s="28"/>
      <c r="P87" s="25" t="s">
        <v>89</v>
      </c>
      <c r="Q87" s="28"/>
      <c r="R87" s="28"/>
      <c r="S87" s="26"/>
    </row>
    <row r="88" customFormat="false" ht="35.05" hidden="false" customHeight="false" outlineLevel="0" collapsed="false">
      <c r="A88" s="15" t="n">
        <v>84</v>
      </c>
      <c r="B88" s="5" t="s">
        <v>358</v>
      </c>
      <c r="C88" s="5" t="s">
        <v>57</v>
      </c>
      <c r="D88" s="5" t="s">
        <v>359</v>
      </c>
      <c r="E88" s="5" t="s">
        <v>360</v>
      </c>
      <c r="F88" s="5" t="s">
        <v>361</v>
      </c>
      <c r="G88" s="25" t="s">
        <v>80</v>
      </c>
      <c r="H88" s="26"/>
      <c r="I88" s="25" t="s">
        <v>25</v>
      </c>
      <c r="J88" s="25" t="n">
        <v>0</v>
      </c>
      <c r="K88" s="27" t="n">
        <f aca="false">IF(OR(I88="Diterapkan",I88="Tidak Berlaku (N/A)"),1,IF(I88="Dalam Proses",0.5,0))</f>
        <v>0</v>
      </c>
      <c r="L88" s="26"/>
      <c r="M88" s="26"/>
      <c r="N88" s="28"/>
      <c r="O88" s="28"/>
      <c r="P88" s="25" t="s">
        <v>89</v>
      </c>
      <c r="Q88" s="28"/>
      <c r="R88" s="28"/>
      <c r="S88" s="26"/>
    </row>
    <row r="89" customFormat="false" ht="35.05" hidden="false" customHeight="false" outlineLevel="0" collapsed="false">
      <c r="A89" s="15" t="n">
        <v>85</v>
      </c>
      <c r="B89" s="5" t="s">
        <v>362</v>
      </c>
      <c r="C89" s="5" t="s">
        <v>57</v>
      </c>
      <c r="D89" s="5" t="s">
        <v>359</v>
      </c>
      <c r="E89" s="5" t="s">
        <v>363</v>
      </c>
      <c r="F89" s="5" t="s">
        <v>364</v>
      </c>
      <c r="G89" s="25" t="s">
        <v>80</v>
      </c>
      <c r="H89" s="26"/>
      <c r="I89" s="25" t="s">
        <v>25</v>
      </c>
      <c r="J89" s="25" t="n">
        <v>0</v>
      </c>
      <c r="K89" s="27" t="n">
        <f aca="false">IF(OR(I89="Diterapkan",I89="Tidak Berlaku (N/A)"),1,IF(I89="Dalam Proses",0.5,0))</f>
        <v>0</v>
      </c>
      <c r="L89" s="26"/>
      <c r="M89" s="26"/>
      <c r="N89" s="28"/>
      <c r="O89" s="28"/>
      <c r="P89" s="25" t="s">
        <v>89</v>
      </c>
      <c r="Q89" s="28"/>
      <c r="R89" s="28"/>
      <c r="S89" s="26"/>
    </row>
    <row r="90" customFormat="false" ht="23.85" hidden="false" customHeight="false" outlineLevel="0" collapsed="false">
      <c r="A90" s="15" t="n">
        <v>86</v>
      </c>
      <c r="B90" s="5" t="s">
        <v>365</v>
      </c>
      <c r="C90" s="5" t="s">
        <v>57</v>
      </c>
      <c r="D90" s="5" t="s">
        <v>359</v>
      </c>
      <c r="E90" s="5" t="s">
        <v>366</v>
      </c>
      <c r="F90" s="5" t="s">
        <v>367</v>
      </c>
      <c r="G90" s="25" t="s">
        <v>80</v>
      </c>
      <c r="H90" s="26"/>
      <c r="I90" s="25" t="s">
        <v>25</v>
      </c>
      <c r="J90" s="25" t="n">
        <v>0</v>
      </c>
      <c r="K90" s="27" t="n">
        <f aca="false">IF(OR(I90="Diterapkan",I90="Tidak Berlaku (N/A)"),1,IF(I90="Dalam Proses",0.5,0))</f>
        <v>0</v>
      </c>
      <c r="L90" s="26"/>
      <c r="M90" s="26"/>
      <c r="N90" s="28"/>
      <c r="O90" s="28"/>
      <c r="P90" s="25" t="s">
        <v>89</v>
      </c>
      <c r="Q90" s="28"/>
      <c r="R90" s="28"/>
      <c r="S90" s="26"/>
    </row>
    <row r="91" customFormat="false" ht="23.85" hidden="false" customHeight="false" outlineLevel="0" collapsed="false">
      <c r="A91" s="15" t="n">
        <v>87</v>
      </c>
      <c r="B91" s="5" t="s">
        <v>368</v>
      </c>
      <c r="C91" s="5" t="s">
        <v>57</v>
      </c>
      <c r="D91" s="5" t="s">
        <v>359</v>
      </c>
      <c r="E91" s="5" t="s">
        <v>369</v>
      </c>
      <c r="F91" s="5" t="s">
        <v>370</v>
      </c>
      <c r="G91" s="25" t="s">
        <v>80</v>
      </c>
      <c r="H91" s="26"/>
      <c r="I91" s="25" t="s">
        <v>25</v>
      </c>
      <c r="J91" s="25" t="n">
        <v>0</v>
      </c>
      <c r="K91" s="27" t="n">
        <f aca="false">IF(OR(I91="Diterapkan",I91="Tidak Berlaku (N/A)"),1,IF(I91="Dalam Proses",0.5,0))</f>
        <v>0</v>
      </c>
      <c r="L91" s="26"/>
      <c r="M91" s="26"/>
      <c r="N91" s="28"/>
      <c r="O91" s="28"/>
      <c r="P91" s="25" t="s">
        <v>89</v>
      </c>
      <c r="Q91" s="28"/>
      <c r="R91" s="28"/>
      <c r="S91" s="26"/>
    </row>
    <row r="92" customFormat="false" ht="23.85" hidden="false" customHeight="false" outlineLevel="0" collapsed="false">
      <c r="A92" s="15" t="n">
        <v>88</v>
      </c>
      <c r="B92" s="5" t="s">
        <v>371</v>
      </c>
      <c r="C92" s="5" t="s">
        <v>57</v>
      </c>
      <c r="D92" s="5" t="s">
        <v>359</v>
      </c>
      <c r="E92" s="5" t="s">
        <v>372</v>
      </c>
      <c r="F92" s="5" t="s">
        <v>373</v>
      </c>
      <c r="G92" s="25" t="s">
        <v>80</v>
      </c>
      <c r="H92" s="26"/>
      <c r="I92" s="25" t="s">
        <v>25</v>
      </c>
      <c r="J92" s="25" t="n">
        <v>0</v>
      </c>
      <c r="K92" s="27" t="n">
        <f aca="false">IF(OR(I92="Diterapkan",I92="Tidak Berlaku (N/A)"),1,IF(I92="Dalam Proses",0.5,0))</f>
        <v>0</v>
      </c>
      <c r="L92" s="26"/>
      <c r="M92" s="26"/>
      <c r="N92" s="28"/>
      <c r="O92" s="28"/>
      <c r="P92" s="25" t="s">
        <v>89</v>
      </c>
      <c r="Q92" s="28"/>
      <c r="R92" s="28"/>
      <c r="S92" s="26"/>
    </row>
    <row r="93" customFormat="false" ht="23.85" hidden="false" customHeight="false" outlineLevel="0" collapsed="false">
      <c r="A93" s="15" t="n">
        <v>89</v>
      </c>
      <c r="B93" s="5" t="s">
        <v>374</v>
      </c>
      <c r="C93" s="5" t="s">
        <v>57</v>
      </c>
      <c r="D93" s="5" t="s">
        <v>359</v>
      </c>
      <c r="E93" s="5" t="s">
        <v>375</v>
      </c>
      <c r="F93" s="5" t="s">
        <v>376</v>
      </c>
      <c r="G93" s="25" t="s">
        <v>80</v>
      </c>
      <c r="H93" s="26"/>
      <c r="I93" s="25" t="s">
        <v>25</v>
      </c>
      <c r="J93" s="25" t="n">
        <v>0</v>
      </c>
      <c r="K93" s="27" t="n">
        <f aca="false">IF(OR(I93="Diterapkan",I93="Tidak Berlaku (N/A)"),1,IF(I93="Dalam Proses",0.5,0))</f>
        <v>0</v>
      </c>
      <c r="L93" s="26"/>
      <c r="M93" s="26"/>
      <c r="N93" s="28"/>
      <c r="O93" s="28"/>
      <c r="P93" s="25" t="s">
        <v>89</v>
      </c>
      <c r="Q93" s="28"/>
      <c r="R93" s="28"/>
      <c r="S93" s="26"/>
    </row>
    <row r="94" customFormat="false" ht="23.85" hidden="false" customHeight="false" outlineLevel="0" collapsed="false">
      <c r="A94" s="15" t="n">
        <v>90</v>
      </c>
      <c r="B94" s="5" t="s">
        <v>377</v>
      </c>
      <c r="C94" s="5" t="s">
        <v>57</v>
      </c>
      <c r="D94" s="5" t="s">
        <v>359</v>
      </c>
      <c r="E94" s="5" t="s">
        <v>378</v>
      </c>
      <c r="F94" s="5" t="s">
        <v>379</v>
      </c>
      <c r="G94" s="25" t="s">
        <v>80</v>
      </c>
      <c r="H94" s="26"/>
      <c r="I94" s="25" t="s">
        <v>25</v>
      </c>
      <c r="J94" s="25" t="n">
        <v>0</v>
      </c>
      <c r="K94" s="27" t="n">
        <f aca="false">IF(OR(I94="Diterapkan",I94="Tidak Berlaku (N/A)"),1,IF(I94="Dalam Proses",0.5,0))</f>
        <v>0</v>
      </c>
      <c r="L94" s="26"/>
      <c r="M94" s="26"/>
      <c r="N94" s="28"/>
      <c r="O94" s="28"/>
      <c r="P94" s="25" t="s">
        <v>89</v>
      </c>
      <c r="Q94" s="28"/>
      <c r="R94" s="28"/>
      <c r="S94" s="26"/>
    </row>
    <row r="95" customFormat="false" ht="23.85" hidden="false" customHeight="false" outlineLevel="0" collapsed="false">
      <c r="A95" s="15" t="n">
        <v>91</v>
      </c>
      <c r="B95" s="5" t="s">
        <v>380</v>
      </c>
      <c r="C95" s="5" t="s">
        <v>57</v>
      </c>
      <c r="D95" s="5" t="s">
        <v>359</v>
      </c>
      <c r="E95" s="5" t="s">
        <v>381</v>
      </c>
      <c r="F95" s="5" t="s">
        <v>382</v>
      </c>
      <c r="G95" s="25" t="s">
        <v>80</v>
      </c>
      <c r="H95" s="26"/>
      <c r="I95" s="25" t="s">
        <v>25</v>
      </c>
      <c r="J95" s="25" t="n">
        <v>0</v>
      </c>
      <c r="K95" s="27" t="n">
        <f aca="false">IF(OR(I95="Diterapkan",I95="Tidak Berlaku (N/A)"),1,IF(I95="Dalam Proses",0.5,0))</f>
        <v>0</v>
      </c>
      <c r="L95" s="26"/>
      <c r="M95" s="26"/>
      <c r="N95" s="28"/>
      <c r="O95" s="28"/>
      <c r="P95" s="25" t="s">
        <v>89</v>
      </c>
      <c r="Q95" s="28"/>
      <c r="R95" s="28"/>
      <c r="S95" s="26"/>
    </row>
    <row r="96" customFormat="false" ht="23.85" hidden="false" customHeight="false" outlineLevel="0" collapsed="false">
      <c r="A96" s="15" t="n">
        <v>92</v>
      </c>
      <c r="B96" s="5" t="s">
        <v>383</v>
      </c>
      <c r="C96" s="5" t="s">
        <v>57</v>
      </c>
      <c r="D96" s="5" t="s">
        <v>359</v>
      </c>
      <c r="E96" s="5" t="s">
        <v>384</v>
      </c>
      <c r="F96" s="5" t="s">
        <v>385</v>
      </c>
      <c r="G96" s="25" t="s">
        <v>80</v>
      </c>
      <c r="H96" s="26"/>
      <c r="I96" s="25" t="s">
        <v>25</v>
      </c>
      <c r="J96" s="25" t="n">
        <v>0</v>
      </c>
      <c r="K96" s="27" t="n">
        <f aca="false">IF(OR(I96="Diterapkan",I96="Tidak Berlaku (N/A)"),1,IF(I96="Dalam Proses",0.5,0))</f>
        <v>0</v>
      </c>
      <c r="L96" s="26"/>
      <c r="M96" s="26"/>
      <c r="N96" s="28"/>
      <c r="O96" s="28"/>
      <c r="P96" s="25" t="s">
        <v>89</v>
      </c>
      <c r="Q96" s="28"/>
      <c r="R96" s="28"/>
      <c r="S96" s="26"/>
    </row>
    <row r="97" customFormat="false" ht="23.85" hidden="false" customHeight="false" outlineLevel="0" collapsed="false">
      <c r="A97" s="15" t="n">
        <v>93</v>
      </c>
      <c r="B97" s="5" t="s">
        <v>386</v>
      </c>
      <c r="C97" s="5" t="s">
        <v>57</v>
      </c>
      <c r="D97" s="5" t="s">
        <v>387</v>
      </c>
      <c r="E97" s="5" t="s">
        <v>388</v>
      </c>
      <c r="F97" s="5" t="s">
        <v>389</v>
      </c>
      <c r="G97" s="25" t="s">
        <v>80</v>
      </c>
      <c r="H97" s="26"/>
      <c r="I97" s="25" t="s">
        <v>25</v>
      </c>
      <c r="J97" s="25" t="n">
        <v>0</v>
      </c>
      <c r="K97" s="27" t="n">
        <f aca="false">IF(OR(I97="Diterapkan",I97="Tidak Berlaku (N/A)"),1,IF(I97="Dalam Proses",0.5,0))</f>
        <v>0</v>
      </c>
      <c r="L97" s="26"/>
      <c r="M97" s="26"/>
      <c r="N97" s="28"/>
      <c r="O97" s="28"/>
      <c r="P97" s="25" t="s">
        <v>89</v>
      </c>
      <c r="Q97" s="28"/>
      <c r="R97" s="28"/>
      <c r="S97" s="26"/>
    </row>
  </sheetData>
  <mergeCells count="2">
    <mergeCell ref="A1:S1"/>
    <mergeCell ref="A2:S2"/>
  </mergeCells>
  <conditionalFormatting sqref="I5:I97">
    <cfRule type="expression" priority="2" aboveAverage="0" equalAverage="0" bottom="0" percent="0" rank="0" text="" dxfId="0">
      <formula>$I5="Belum Dimulai"</formula>
    </cfRule>
    <cfRule type="expression" priority="3" aboveAverage="0" equalAverage="0" bottom="0" percent="0" rank="0" text="" dxfId="1">
      <formula>$I5="Dalam Proses"</formula>
    </cfRule>
    <cfRule type="expression" priority="4" aboveAverage="0" equalAverage="0" bottom="0" percent="0" rank="0" text="" dxfId="2">
      <formula>$I5="Diterapkan"</formula>
    </cfRule>
    <cfRule type="expression" priority="5" aboveAverage="0" equalAverage="0" bottom="0" percent="0" rank="0" text="" dxfId="3">
      <formula>$I5="Tidak Berlaku (N/A)"</formula>
    </cfRule>
  </conditionalFormatting>
  <conditionalFormatting sqref="H5">
    <cfRule type="expression" priority="6" aboveAverage="0" equalAverage="0" bottom="0" percent="0" rank="0" text="" dxfId="4">
      <formula>0</formula>
    </cfRule>
    <cfRule type="expression" priority="7" aboveAverage="0" equalAverage="0" bottom="0" percent="0" rank="0" text="" dxfId="4">
      <formula>0</formula>
    </cfRule>
    <cfRule type="expression" priority="8" aboveAverage="0" equalAverage="0" bottom="0" percent="0" rank="0" text="" dxfId="4">
      <formula>0</formula>
    </cfRule>
    <cfRule type="expression" priority="9" aboveAverage="0" equalAverage="0" bottom="0" percent="0" rank="0" text="" dxfId="4">
      <formula>0</formula>
    </cfRule>
  </conditionalFormatting>
  <conditionalFormatting sqref="K5:K97">
    <cfRule type="colorScale" priority="10">
      <colorScale>
        <cfvo type="num" val="0"/>
        <cfvo type="num" val="0.5"/>
        <cfvo type="num" val="1"/>
        <color rgb="FFF4CCCC"/>
        <color rgb="FFFCE5CD"/>
        <color rgb="FFD9EAD3"/>
      </colorScale>
    </cfRule>
  </conditionalFormatting>
  <dataValidations count="4">
    <dataValidation allowBlank="false" errorStyle="stop" operator="between" showDropDown="false" showErrorMessage="false" showInputMessage="false" sqref="G5:G97" type="list">
      <formula1>"Ya,Tidak"</formula1>
      <formula2>0</formula2>
    </dataValidation>
    <dataValidation allowBlank="false" errorStyle="stop" operator="between" showDropDown="false" showErrorMessage="false" showInputMessage="false" sqref="I5:I97" type="list">
      <formula1>"Belum Dimulai,Dalam Proses,Diterapkan,Tidak Berlaku (N/A)"</formula1>
      <formula2>0</formula2>
    </dataValidation>
    <dataValidation allowBlank="false" errorStyle="stop" operator="between" showDropDown="false" showErrorMessage="false" showInputMessage="false" sqref="J5:J97" type="list">
      <formula1>"0,1,2,3,4,5"</formula1>
      <formula2>0</formula2>
    </dataValidation>
    <dataValidation allowBlank="false" errorStyle="stop" operator="between" showDropDown="false" showErrorMessage="false" showInputMessage="false" sqref="P5:P97" type="list">
      <formula1>"Tinggi,Sedang,Rendah"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42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26"/>
    <col collapsed="false" customWidth="true" hidden="false" outlineLevel="0" max="15" min="14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5"/>
    <col collapsed="false" customWidth="true" hidden="false" outlineLevel="0" max="19" min="19" style="0" width="30"/>
  </cols>
  <sheetData>
    <row r="1" customFormat="false" ht="25.5" hidden="false" customHeight="true" outlineLevel="0" collapsed="false">
      <c r="A1" s="23" t="s">
        <v>390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customFormat="false" ht="15.75" hidden="false" customHeight="true" outlineLevel="0" collapsed="false">
      <c r="A2" s="24" t="s">
        <v>59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4" customFormat="false" ht="31.5" hidden="false" customHeight="true" outlineLevel="0" collapsed="false">
      <c r="A4" s="13" t="s">
        <v>60</v>
      </c>
      <c r="B4" s="13" t="s">
        <v>61</v>
      </c>
      <c r="C4" s="13" t="s">
        <v>62</v>
      </c>
      <c r="D4" s="13" t="s">
        <v>63</v>
      </c>
      <c r="E4" s="13" t="s">
        <v>64</v>
      </c>
      <c r="F4" s="13" t="s">
        <v>65</v>
      </c>
      <c r="G4" s="13" t="s">
        <v>66</v>
      </c>
      <c r="H4" s="13" t="s">
        <v>67</v>
      </c>
      <c r="I4" s="13" t="s">
        <v>10</v>
      </c>
      <c r="J4" s="13" t="s">
        <v>12</v>
      </c>
      <c r="K4" s="13" t="s">
        <v>68</v>
      </c>
      <c r="L4" s="13" t="s">
        <v>69</v>
      </c>
      <c r="M4" s="13" t="s">
        <v>70</v>
      </c>
      <c r="N4" s="13" t="s">
        <v>71</v>
      </c>
      <c r="O4" s="13" t="s">
        <v>72</v>
      </c>
      <c r="P4" s="13" t="s">
        <v>16</v>
      </c>
      <c r="Q4" s="13" t="s">
        <v>73</v>
      </c>
      <c r="R4" s="13" t="s">
        <v>74</v>
      </c>
      <c r="S4" s="13" t="s">
        <v>75</v>
      </c>
    </row>
    <row r="5" customFormat="false" ht="35.05" hidden="false" customHeight="false" outlineLevel="0" collapsed="false">
      <c r="A5" s="15" t="n">
        <v>1</v>
      </c>
      <c r="B5" s="5" t="s">
        <v>391</v>
      </c>
      <c r="C5" s="5" t="s">
        <v>392</v>
      </c>
      <c r="D5" s="5" t="s">
        <v>393</v>
      </c>
      <c r="E5" s="5" t="s">
        <v>394</v>
      </c>
      <c r="F5" s="5" t="s">
        <v>395</v>
      </c>
      <c r="G5" s="25" t="s">
        <v>80</v>
      </c>
      <c r="H5" s="26"/>
      <c r="I5" s="25" t="s">
        <v>26</v>
      </c>
      <c r="J5" s="25" t="n">
        <v>3</v>
      </c>
      <c r="K5" s="27" t="n">
        <f aca="false">IF(OR(I5="Diterapkan",I5="Tidak Berlaku (N/A)"),1,IF(I5="Dalam Proses",0.5,0))</f>
        <v>0.5</v>
      </c>
      <c r="L5" s="26" t="s">
        <v>81</v>
      </c>
      <c r="M5" s="26" t="s">
        <v>82</v>
      </c>
      <c r="N5" s="28" t="n">
        <v>46333</v>
      </c>
      <c r="O5" s="28"/>
      <c r="P5" s="25" t="s">
        <v>83</v>
      </c>
      <c r="Q5" s="28" t="n">
        <v>46243</v>
      </c>
      <c r="R5" s="28" t="n">
        <v>46423</v>
      </c>
      <c r="S5" s="26" t="s">
        <v>84</v>
      </c>
    </row>
    <row r="6" customFormat="false" ht="23.85" hidden="false" customHeight="false" outlineLevel="0" collapsed="false">
      <c r="A6" s="15" t="n">
        <v>2</v>
      </c>
      <c r="B6" s="5" t="s">
        <v>396</v>
      </c>
      <c r="C6" s="5" t="s">
        <v>392</v>
      </c>
      <c r="D6" s="5" t="s">
        <v>393</v>
      </c>
      <c r="E6" s="5" t="s">
        <v>397</v>
      </c>
      <c r="F6" s="5" t="s">
        <v>398</v>
      </c>
      <c r="G6" s="25" t="s">
        <v>80</v>
      </c>
      <c r="H6" s="26"/>
      <c r="I6" s="25" t="s">
        <v>25</v>
      </c>
      <c r="J6" s="25" t="n">
        <v>0</v>
      </c>
      <c r="K6" s="27" t="n">
        <f aca="false">IF(OR(I6="Diterapkan",I6="Tidak Berlaku (N/A)"),1,IF(I6="Dalam Proses",0.5,0))</f>
        <v>0</v>
      </c>
      <c r="L6" s="26"/>
      <c r="M6" s="26"/>
      <c r="N6" s="28"/>
      <c r="O6" s="28"/>
      <c r="P6" s="25" t="s">
        <v>89</v>
      </c>
      <c r="Q6" s="28"/>
      <c r="R6" s="28"/>
      <c r="S6" s="26"/>
    </row>
    <row r="7" customFormat="false" ht="23.85" hidden="false" customHeight="false" outlineLevel="0" collapsed="false">
      <c r="A7" s="15" t="n">
        <v>3</v>
      </c>
      <c r="B7" s="5" t="s">
        <v>399</v>
      </c>
      <c r="C7" s="5" t="s">
        <v>392</v>
      </c>
      <c r="D7" s="5" t="s">
        <v>393</v>
      </c>
      <c r="E7" s="5" t="s">
        <v>400</v>
      </c>
      <c r="F7" s="5" t="s">
        <v>401</v>
      </c>
      <c r="G7" s="25" t="s">
        <v>80</v>
      </c>
      <c r="H7" s="26"/>
      <c r="I7" s="25" t="s">
        <v>25</v>
      </c>
      <c r="J7" s="25" t="n">
        <v>0</v>
      </c>
      <c r="K7" s="27" t="n">
        <f aca="false">IF(OR(I7="Diterapkan",I7="Tidak Berlaku (N/A)"),1,IF(I7="Dalam Proses",0.5,0))</f>
        <v>0</v>
      </c>
      <c r="L7" s="26"/>
      <c r="M7" s="26"/>
      <c r="N7" s="28"/>
      <c r="O7" s="28"/>
      <c r="P7" s="25" t="s">
        <v>89</v>
      </c>
      <c r="Q7" s="28"/>
      <c r="R7" s="28"/>
      <c r="S7" s="26"/>
    </row>
    <row r="8" customFormat="false" ht="23.85" hidden="false" customHeight="false" outlineLevel="0" collapsed="false">
      <c r="A8" s="15" t="n">
        <v>4</v>
      </c>
      <c r="B8" s="5" t="s">
        <v>402</v>
      </c>
      <c r="C8" s="5" t="s">
        <v>392</v>
      </c>
      <c r="D8" s="5" t="s">
        <v>393</v>
      </c>
      <c r="E8" s="5" t="s">
        <v>403</v>
      </c>
      <c r="F8" s="5" t="s">
        <v>404</v>
      </c>
      <c r="G8" s="25" t="s">
        <v>80</v>
      </c>
      <c r="H8" s="26"/>
      <c r="I8" s="25" t="s">
        <v>25</v>
      </c>
      <c r="J8" s="25" t="n">
        <v>0</v>
      </c>
      <c r="K8" s="27" t="n">
        <f aca="false">IF(OR(I8="Diterapkan",I8="Tidak Berlaku (N/A)"),1,IF(I8="Dalam Proses",0.5,0))</f>
        <v>0</v>
      </c>
      <c r="L8" s="26"/>
      <c r="M8" s="26"/>
      <c r="N8" s="28"/>
      <c r="O8" s="28"/>
      <c r="P8" s="25" t="s">
        <v>89</v>
      </c>
      <c r="Q8" s="28"/>
      <c r="R8" s="28"/>
      <c r="S8" s="26"/>
    </row>
    <row r="9" customFormat="false" ht="23.85" hidden="false" customHeight="false" outlineLevel="0" collapsed="false">
      <c r="A9" s="15" t="n">
        <v>5</v>
      </c>
      <c r="B9" s="5" t="s">
        <v>405</v>
      </c>
      <c r="C9" s="5" t="s">
        <v>392</v>
      </c>
      <c r="D9" s="5" t="s">
        <v>393</v>
      </c>
      <c r="E9" s="5" t="s">
        <v>406</v>
      </c>
      <c r="F9" s="5" t="s">
        <v>407</v>
      </c>
      <c r="G9" s="25" t="s">
        <v>80</v>
      </c>
      <c r="H9" s="26"/>
      <c r="I9" s="25" t="s">
        <v>25</v>
      </c>
      <c r="J9" s="25" t="n">
        <v>0</v>
      </c>
      <c r="K9" s="27" t="n">
        <f aca="false">IF(OR(I9="Diterapkan",I9="Tidak Berlaku (N/A)"),1,IF(I9="Dalam Proses",0.5,0))</f>
        <v>0</v>
      </c>
      <c r="L9" s="26"/>
      <c r="M9" s="26"/>
      <c r="N9" s="28"/>
      <c r="O9" s="28"/>
      <c r="P9" s="25" t="s">
        <v>89</v>
      </c>
      <c r="Q9" s="28"/>
      <c r="R9" s="28"/>
      <c r="S9" s="26"/>
    </row>
    <row r="10" customFormat="false" ht="23.85" hidden="false" customHeight="false" outlineLevel="0" collapsed="false">
      <c r="A10" s="15" t="n">
        <v>6</v>
      </c>
      <c r="B10" s="5" t="s">
        <v>408</v>
      </c>
      <c r="C10" s="5" t="s">
        <v>392</v>
      </c>
      <c r="D10" s="5" t="s">
        <v>393</v>
      </c>
      <c r="E10" s="5" t="s">
        <v>409</v>
      </c>
      <c r="F10" s="5" t="s">
        <v>410</v>
      </c>
      <c r="G10" s="25" t="s">
        <v>80</v>
      </c>
      <c r="H10" s="26"/>
      <c r="I10" s="25" t="s">
        <v>25</v>
      </c>
      <c r="J10" s="25" t="n">
        <v>0</v>
      </c>
      <c r="K10" s="27" t="n">
        <f aca="false">IF(OR(I10="Diterapkan",I10="Tidak Berlaku (N/A)"),1,IF(I10="Dalam Proses",0.5,0))</f>
        <v>0</v>
      </c>
      <c r="L10" s="26"/>
      <c r="M10" s="26"/>
      <c r="N10" s="28"/>
      <c r="O10" s="28"/>
      <c r="P10" s="25" t="s">
        <v>89</v>
      </c>
      <c r="Q10" s="28"/>
      <c r="R10" s="28"/>
      <c r="S10" s="26"/>
    </row>
    <row r="11" customFormat="false" ht="23.85" hidden="false" customHeight="false" outlineLevel="0" collapsed="false">
      <c r="A11" s="15" t="n">
        <v>7</v>
      </c>
      <c r="B11" s="5" t="s">
        <v>411</v>
      </c>
      <c r="C11" s="5" t="s">
        <v>392</v>
      </c>
      <c r="D11" s="5" t="s">
        <v>393</v>
      </c>
      <c r="E11" s="5" t="s">
        <v>412</v>
      </c>
      <c r="F11" s="5" t="s">
        <v>413</v>
      </c>
      <c r="G11" s="25" t="s">
        <v>80</v>
      </c>
      <c r="H11" s="26"/>
      <c r="I11" s="25" t="s">
        <v>25</v>
      </c>
      <c r="J11" s="25" t="n">
        <v>0</v>
      </c>
      <c r="K11" s="27" t="n">
        <f aca="false">IF(OR(I11="Diterapkan",I11="Tidak Berlaku (N/A)"),1,IF(I11="Dalam Proses",0.5,0))</f>
        <v>0</v>
      </c>
      <c r="L11" s="26"/>
      <c r="M11" s="26"/>
      <c r="N11" s="28"/>
      <c r="O11" s="28"/>
      <c r="P11" s="25" t="s">
        <v>89</v>
      </c>
      <c r="Q11" s="28"/>
      <c r="R11" s="28"/>
      <c r="S11" s="26"/>
    </row>
    <row r="12" customFormat="false" ht="23.85" hidden="false" customHeight="false" outlineLevel="0" collapsed="false">
      <c r="A12" s="15" t="n">
        <v>8</v>
      </c>
      <c r="B12" s="5" t="s">
        <v>414</v>
      </c>
      <c r="C12" s="5" t="s">
        <v>392</v>
      </c>
      <c r="D12" s="5" t="s">
        <v>393</v>
      </c>
      <c r="E12" s="5" t="s">
        <v>415</v>
      </c>
      <c r="F12" s="5" t="s">
        <v>416</v>
      </c>
      <c r="G12" s="25" t="s">
        <v>80</v>
      </c>
      <c r="H12" s="26"/>
      <c r="I12" s="25" t="s">
        <v>25</v>
      </c>
      <c r="J12" s="25" t="n">
        <v>0</v>
      </c>
      <c r="K12" s="27" t="n">
        <f aca="false">IF(OR(I12="Diterapkan",I12="Tidak Berlaku (N/A)"),1,IF(I12="Dalam Proses",0.5,0))</f>
        <v>0</v>
      </c>
      <c r="L12" s="26"/>
      <c r="M12" s="26"/>
      <c r="N12" s="28"/>
      <c r="O12" s="28"/>
      <c r="P12" s="25" t="s">
        <v>89</v>
      </c>
      <c r="Q12" s="28"/>
      <c r="R12" s="28"/>
      <c r="S12" s="26"/>
    </row>
    <row r="13" customFormat="false" ht="23.85" hidden="false" customHeight="false" outlineLevel="0" collapsed="false">
      <c r="A13" s="15" t="n">
        <v>9</v>
      </c>
      <c r="B13" s="5" t="s">
        <v>417</v>
      </c>
      <c r="C13" s="5" t="s">
        <v>392</v>
      </c>
      <c r="D13" s="5" t="s">
        <v>418</v>
      </c>
      <c r="E13" s="5" t="s">
        <v>419</v>
      </c>
      <c r="F13" s="5" t="s">
        <v>420</v>
      </c>
      <c r="G13" s="25" t="s">
        <v>80</v>
      </c>
      <c r="H13" s="26"/>
      <c r="I13" s="25" t="s">
        <v>25</v>
      </c>
      <c r="J13" s="25" t="n">
        <v>0</v>
      </c>
      <c r="K13" s="27" t="n">
        <f aca="false">IF(OR(I13="Diterapkan",I13="Tidak Berlaku (N/A)"),1,IF(I13="Dalam Proses",0.5,0))</f>
        <v>0</v>
      </c>
      <c r="L13" s="26"/>
      <c r="M13" s="26"/>
      <c r="N13" s="28"/>
      <c r="O13" s="28"/>
      <c r="P13" s="25" t="s">
        <v>89</v>
      </c>
      <c r="Q13" s="28"/>
      <c r="R13" s="28"/>
      <c r="S13" s="26"/>
    </row>
    <row r="14" customFormat="false" ht="23.85" hidden="false" customHeight="false" outlineLevel="0" collapsed="false">
      <c r="A14" s="15" t="n">
        <v>10</v>
      </c>
      <c r="B14" s="5" t="s">
        <v>421</v>
      </c>
      <c r="C14" s="5" t="s">
        <v>392</v>
      </c>
      <c r="D14" s="5" t="s">
        <v>418</v>
      </c>
      <c r="E14" s="5" t="s">
        <v>422</v>
      </c>
      <c r="F14" s="5" t="s">
        <v>423</v>
      </c>
      <c r="G14" s="25" t="s">
        <v>80</v>
      </c>
      <c r="H14" s="26"/>
      <c r="I14" s="25" t="s">
        <v>25</v>
      </c>
      <c r="J14" s="25" t="n">
        <v>0</v>
      </c>
      <c r="K14" s="27" t="n">
        <f aca="false">IF(OR(I14="Diterapkan",I14="Tidak Berlaku (N/A)"),1,IF(I14="Dalam Proses",0.5,0))</f>
        <v>0</v>
      </c>
      <c r="L14" s="26"/>
      <c r="M14" s="26"/>
      <c r="N14" s="28"/>
      <c r="O14" s="28"/>
      <c r="P14" s="25" t="s">
        <v>89</v>
      </c>
      <c r="Q14" s="28"/>
      <c r="R14" s="28"/>
      <c r="S14" s="26"/>
    </row>
    <row r="15" customFormat="false" ht="23.85" hidden="false" customHeight="false" outlineLevel="0" collapsed="false">
      <c r="A15" s="15" t="n">
        <v>11</v>
      </c>
      <c r="B15" s="5" t="s">
        <v>424</v>
      </c>
      <c r="C15" s="5" t="s">
        <v>392</v>
      </c>
      <c r="D15" s="5" t="s">
        <v>418</v>
      </c>
      <c r="E15" s="5" t="s">
        <v>425</v>
      </c>
      <c r="F15" s="5" t="s">
        <v>426</v>
      </c>
      <c r="G15" s="25" t="s">
        <v>80</v>
      </c>
      <c r="H15" s="26"/>
      <c r="I15" s="25" t="s">
        <v>25</v>
      </c>
      <c r="J15" s="25" t="n">
        <v>0</v>
      </c>
      <c r="K15" s="27" t="n">
        <f aca="false">IF(OR(I15="Diterapkan",I15="Tidak Berlaku (N/A)"),1,IF(I15="Dalam Proses",0.5,0))</f>
        <v>0</v>
      </c>
      <c r="L15" s="26"/>
      <c r="M15" s="26"/>
      <c r="N15" s="28"/>
      <c r="O15" s="28"/>
      <c r="P15" s="25" t="s">
        <v>89</v>
      </c>
      <c r="Q15" s="28"/>
      <c r="R15" s="28"/>
      <c r="S15" s="26"/>
    </row>
    <row r="16" customFormat="false" ht="23.85" hidden="false" customHeight="false" outlineLevel="0" collapsed="false">
      <c r="A16" s="15" t="n">
        <v>12</v>
      </c>
      <c r="B16" s="5" t="s">
        <v>427</v>
      </c>
      <c r="C16" s="5" t="s">
        <v>392</v>
      </c>
      <c r="D16" s="5" t="s">
        <v>418</v>
      </c>
      <c r="E16" s="5" t="s">
        <v>428</v>
      </c>
      <c r="F16" s="5" t="s">
        <v>429</v>
      </c>
      <c r="G16" s="25" t="s">
        <v>80</v>
      </c>
      <c r="H16" s="26"/>
      <c r="I16" s="25" t="s">
        <v>25</v>
      </c>
      <c r="J16" s="25" t="n">
        <v>0</v>
      </c>
      <c r="K16" s="27" t="n">
        <f aca="false">IF(OR(I16="Diterapkan",I16="Tidak Berlaku (N/A)"),1,IF(I16="Dalam Proses",0.5,0))</f>
        <v>0</v>
      </c>
      <c r="L16" s="26"/>
      <c r="M16" s="26"/>
      <c r="N16" s="28"/>
      <c r="O16" s="28"/>
      <c r="P16" s="25" t="s">
        <v>89</v>
      </c>
      <c r="Q16" s="28"/>
      <c r="R16" s="28"/>
      <c r="S16" s="26"/>
    </row>
    <row r="17" customFormat="false" ht="23.85" hidden="false" customHeight="false" outlineLevel="0" collapsed="false">
      <c r="A17" s="15" t="n">
        <v>13</v>
      </c>
      <c r="B17" s="5" t="s">
        <v>430</v>
      </c>
      <c r="C17" s="5" t="s">
        <v>392</v>
      </c>
      <c r="D17" s="5" t="s">
        <v>418</v>
      </c>
      <c r="E17" s="5" t="s">
        <v>431</v>
      </c>
      <c r="F17" s="5" t="s">
        <v>432</v>
      </c>
      <c r="G17" s="25" t="s">
        <v>80</v>
      </c>
      <c r="H17" s="26"/>
      <c r="I17" s="25" t="s">
        <v>25</v>
      </c>
      <c r="J17" s="25" t="n">
        <v>0</v>
      </c>
      <c r="K17" s="27" t="n">
        <f aca="false">IF(OR(I17="Diterapkan",I17="Tidak Berlaku (N/A)"),1,IF(I17="Dalam Proses",0.5,0))</f>
        <v>0</v>
      </c>
      <c r="L17" s="26"/>
      <c r="M17" s="26"/>
      <c r="N17" s="28"/>
      <c r="O17" s="28"/>
      <c r="P17" s="25" t="s">
        <v>89</v>
      </c>
      <c r="Q17" s="28"/>
      <c r="R17" s="28"/>
      <c r="S17" s="26"/>
    </row>
    <row r="18" customFormat="false" ht="23.85" hidden="false" customHeight="false" outlineLevel="0" collapsed="false">
      <c r="A18" s="15" t="n">
        <v>14</v>
      </c>
      <c r="B18" s="5" t="s">
        <v>433</v>
      </c>
      <c r="C18" s="5" t="s">
        <v>392</v>
      </c>
      <c r="D18" s="5" t="s">
        <v>418</v>
      </c>
      <c r="E18" s="5" t="s">
        <v>434</v>
      </c>
      <c r="F18" s="5" t="s">
        <v>435</v>
      </c>
      <c r="G18" s="25" t="s">
        <v>80</v>
      </c>
      <c r="H18" s="26"/>
      <c r="I18" s="25" t="s">
        <v>25</v>
      </c>
      <c r="J18" s="25" t="n">
        <v>0</v>
      </c>
      <c r="K18" s="27" t="n">
        <f aca="false">IF(OR(I18="Diterapkan",I18="Tidak Berlaku (N/A)"),1,IF(I18="Dalam Proses",0.5,0))</f>
        <v>0</v>
      </c>
      <c r="L18" s="26"/>
      <c r="M18" s="26"/>
      <c r="N18" s="28"/>
      <c r="O18" s="28"/>
      <c r="P18" s="25" t="s">
        <v>89</v>
      </c>
      <c r="Q18" s="28"/>
      <c r="R18" s="28"/>
      <c r="S18" s="26"/>
    </row>
    <row r="19" customFormat="false" ht="23.85" hidden="false" customHeight="false" outlineLevel="0" collapsed="false">
      <c r="A19" s="15" t="n">
        <v>15</v>
      </c>
      <c r="B19" s="5" t="s">
        <v>436</v>
      </c>
      <c r="C19" s="5" t="s">
        <v>392</v>
      </c>
      <c r="D19" s="5" t="s">
        <v>418</v>
      </c>
      <c r="E19" s="5" t="s">
        <v>437</v>
      </c>
      <c r="F19" s="5" t="s">
        <v>438</v>
      </c>
      <c r="G19" s="25" t="s">
        <v>80</v>
      </c>
      <c r="H19" s="26"/>
      <c r="I19" s="25" t="s">
        <v>25</v>
      </c>
      <c r="J19" s="25" t="n">
        <v>0</v>
      </c>
      <c r="K19" s="27" t="n">
        <f aca="false">IF(OR(I19="Diterapkan",I19="Tidak Berlaku (N/A)"),1,IF(I19="Dalam Proses",0.5,0))</f>
        <v>0</v>
      </c>
      <c r="L19" s="26"/>
      <c r="M19" s="26"/>
      <c r="N19" s="28"/>
      <c r="O19" s="28"/>
      <c r="P19" s="25" t="s">
        <v>89</v>
      </c>
      <c r="Q19" s="28"/>
      <c r="R19" s="28"/>
      <c r="S19" s="26"/>
    </row>
    <row r="20" customFormat="false" ht="23.85" hidden="false" customHeight="false" outlineLevel="0" collapsed="false">
      <c r="A20" s="15" t="n">
        <v>16</v>
      </c>
      <c r="B20" s="5" t="s">
        <v>439</v>
      </c>
      <c r="C20" s="5" t="s">
        <v>392</v>
      </c>
      <c r="D20" s="5" t="s">
        <v>418</v>
      </c>
      <c r="E20" s="5" t="s">
        <v>440</v>
      </c>
      <c r="F20" s="5" t="s">
        <v>441</v>
      </c>
      <c r="G20" s="25" t="s">
        <v>80</v>
      </c>
      <c r="H20" s="26"/>
      <c r="I20" s="25" t="s">
        <v>25</v>
      </c>
      <c r="J20" s="25" t="n">
        <v>0</v>
      </c>
      <c r="K20" s="27" t="n">
        <f aca="false">IF(OR(I20="Diterapkan",I20="Tidak Berlaku (N/A)"),1,IF(I20="Dalam Proses",0.5,0))</f>
        <v>0</v>
      </c>
      <c r="L20" s="26"/>
      <c r="M20" s="26"/>
      <c r="N20" s="28"/>
      <c r="O20" s="28"/>
      <c r="P20" s="25" t="s">
        <v>89</v>
      </c>
      <c r="Q20" s="28"/>
      <c r="R20" s="28"/>
      <c r="S20" s="26"/>
    </row>
    <row r="21" customFormat="false" ht="23.85" hidden="false" customHeight="false" outlineLevel="0" collapsed="false">
      <c r="A21" s="15" t="n">
        <v>17</v>
      </c>
      <c r="B21" s="5" t="s">
        <v>442</v>
      </c>
      <c r="C21" s="5" t="s">
        <v>392</v>
      </c>
      <c r="D21" s="5" t="s">
        <v>418</v>
      </c>
      <c r="E21" s="5" t="s">
        <v>443</v>
      </c>
      <c r="F21" s="5" t="s">
        <v>444</v>
      </c>
      <c r="G21" s="25" t="s">
        <v>80</v>
      </c>
      <c r="H21" s="26"/>
      <c r="I21" s="25" t="s">
        <v>25</v>
      </c>
      <c r="J21" s="25" t="n">
        <v>0</v>
      </c>
      <c r="K21" s="27" t="n">
        <f aca="false">IF(OR(I21="Diterapkan",I21="Tidak Berlaku (N/A)"),1,IF(I21="Dalam Proses",0.5,0))</f>
        <v>0</v>
      </c>
      <c r="L21" s="26"/>
      <c r="M21" s="26"/>
      <c r="N21" s="28"/>
      <c r="O21" s="28"/>
      <c r="P21" s="25" t="s">
        <v>89</v>
      </c>
      <c r="Q21" s="28"/>
      <c r="R21" s="28"/>
      <c r="S21" s="26"/>
    </row>
    <row r="22" customFormat="false" ht="23.85" hidden="false" customHeight="false" outlineLevel="0" collapsed="false">
      <c r="A22" s="15" t="n">
        <v>18</v>
      </c>
      <c r="B22" s="5" t="s">
        <v>445</v>
      </c>
      <c r="C22" s="5" t="s">
        <v>392</v>
      </c>
      <c r="D22" s="5" t="s">
        <v>418</v>
      </c>
      <c r="E22" s="5" t="s">
        <v>446</v>
      </c>
      <c r="F22" s="5" t="s">
        <v>447</v>
      </c>
      <c r="G22" s="25" t="s">
        <v>80</v>
      </c>
      <c r="H22" s="26"/>
      <c r="I22" s="25" t="s">
        <v>25</v>
      </c>
      <c r="J22" s="25" t="n">
        <v>0</v>
      </c>
      <c r="K22" s="27" t="n">
        <f aca="false">IF(OR(I22="Diterapkan",I22="Tidak Berlaku (N/A)"),1,IF(I22="Dalam Proses",0.5,0))</f>
        <v>0</v>
      </c>
      <c r="L22" s="26"/>
      <c r="M22" s="26"/>
      <c r="N22" s="28"/>
      <c r="O22" s="28"/>
      <c r="P22" s="25" t="s">
        <v>89</v>
      </c>
      <c r="Q22" s="28"/>
      <c r="R22" s="28"/>
      <c r="S22" s="26"/>
    </row>
    <row r="23" customFormat="false" ht="23.85" hidden="false" customHeight="false" outlineLevel="0" collapsed="false">
      <c r="A23" s="15" t="n">
        <v>19</v>
      </c>
      <c r="B23" s="5" t="s">
        <v>448</v>
      </c>
      <c r="C23" s="5" t="s">
        <v>392</v>
      </c>
      <c r="D23" s="5" t="s">
        <v>449</v>
      </c>
      <c r="E23" s="5" t="s">
        <v>450</v>
      </c>
      <c r="F23" s="5" t="s">
        <v>451</v>
      </c>
      <c r="G23" s="25" t="s">
        <v>80</v>
      </c>
      <c r="H23" s="26"/>
      <c r="I23" s="25" t="s">
        <v>25</v>
      </c>
      <c r="J23" s="25" t="n">
        <v>0</v>
      </c>
      <c r="K23" s="27" t="n">
        <f aca="false">IF(OR(I23="Diterapkan",I23="Tidak Berlaku (N/A)"),1,IF(I23="Dalam Proses",0.5,0))</f>
        <v>0</v>
      </c>
      <c r="L23" s="26"/>
      <c r="M23" s="26"/>
      <c r="N23" s="28"/>
      <c r="O23" s="28"/>
      <c r="P23" s="25" t="s">
        <v>89</v>
      </c>
      <c r="Q23" s="28"/>
      <c r="R23" s="28"/>
      <c r="S23" s="26"/>
    </row>
    <row r="24" customFormat="false" ht="23.85" hidden="false" customHeight="false" outlineLevel="0" collapsed="false">
      <c r="A24" s="15" t="n">
        <v>20</v>
      </c>
      <c r="B24" s="5" t="s">
        <v>452</v>
      </c>
      <c r="C24" s="5" t="s">
        <v>392</v>
      </c>
      <c r="D24" s="5" t="s">
        <v>449</v>
      </c>
      <c r="E24" s="5" t="s">
        <v>453</v>
      </c>
      <c r="F24" s="5" t="s">
        <v>454</v>
      </c>
      <c r="G24" s="25" t="s">
        <v>80</v>
      </c>
      <c r="H24" s="26"/>
      <c r="I24" s="25" t="s">
        <v>25</v>
      </c>
      <c r="J24" s="25" t="n">
        <v>0</v>
      </c>
      <c r="K24" s="27" t="n">
        <f aca="false">IF(OR(I24="Diterapkan",I24="Tidak Berlaku (N/A)"),1,IF(I24="Dalam Proses",0.5,0))</f>
        <v>0</v>
      </c>
      <c r="L24" s="26"/>
      <c r="M24" s="26"/>
      <c r="N24" s="28"/>
      <c r="O24" s="28"/>
      <c r="P24" s="25" t="s">
        <v>89</v>
      </c>
      <c r="Q24" s="28"/>
      <c r="R24" s="28"/>
      <c r="S24" s="26"/>
    </row>
    <row r="25" customFormat="false" ht="15" hidden="false" customHeight="false" outlineLevel="0" collapsed="false">
      <c r="A25" s="15" t="n">
        <v>21</v>
      </c>
      <c r="B25" s="5" t="s">
        <v>455</v>
      </c>
      <c r="C25" s="5" t="s">
        <v>392</v>
      </c>
      <c r="D25" s="5" t="s">
        <v>449</v>
      </c>
      <c r="E25" s="5" t="s">
        <v>456</v>
      </c>
      <c r="F25" s="5" t="s">
        <v>457</v>
      </c>
      <c r="G25" s="25" t="s">
        <v>80</v>
      </c>
      <c r="H25" s="26"/>
      <c r="I25" s="25" t="s">
        <v>25</v>
      </c>
      <c r="J25" s="25" t="n">
        <v>0</v>
      </c>
      <c r="K25" s="27" t="n">
        <f aca="false">IF(OR(I25="Diterapkan",I25="Tidak Berlaku (N/A)"),1,IF(I25="Dalam Proses",0.5,0))</f>
        <v>0</v>
      </c>
      <c r="L25" s="26"/>
      <c r="M25" s="26"/>
      <c r="N25" s="28"/>
      <c r="O25" s="28"/>
      <c r="P25" s="25" t="s">
        <v>89</v>
      </c>
      <c r="Q25" s="28"/>
      <c r="R25" s="28"/>
      <c r="S25" s="26"/>
    </row>
    <row r="26" customFormat="false" ht="23.85" hidden="false" customHeight="false" outlineLevel="0" collapsed="false">
      <c r="A26" s="15" t="n">
        <v>22</v>
      </c>
      <c r="B26" s="5" t="s">
        <v>458</v>
      </c>
      <c r="C26" s="5" t="s">
        <v>392</v>
      </c>
      <c r="D26" s="5" t="s">
        <v>449</v>
      </c>
      <c r="E26" s="5" t="s">
        <v>459</v>
      </c>
      <c r="F26" s="5" t="s">
        <v>460</v>
      </c>
      <c r="G26" s="25" t="s">
        <v>80</v>
      </c>
      <c r="H26" s="26"/>
      <c r="I26" s="25" t="s">
        <v>25</v>
      </c>
      <c r="J26" s="25" t="n">
        <v>0</v>
      </c>
      <c r="K26" s="27" t="n">
        <f aca="false">IF(OR(I26="Diterapkan",I26="Tidak Berlaku (N/A)"),1,IF(I26="Dalam Proses",0.5,0))</f>
        <v>0</v>
      </c>
      <c r="L26" s="26"/>
      <c r="M26" s="26"/>
      <c r="N26" s="28"/>
      <c r="O26" s="28"/>
      <c r="P26" s="25" t="s">
        <v>89</v>
      </c>
      <c r="Q26" s="28"/>
      <c r="R26" s="28"/>
      <c r="S26" s="26"/>
    </row>
    <row r="27" customFormat="false" ht="23.85" hidden="false" customHeight="false" outlineLevel="0" collapsed="false">
      <c r="A27" s="15" t="n">
        <v>23</v>
      </c>
      <c r="B27" s="5" t="s">
        <v>461</v>
      </c>
      <c r="C27" s="5" t="s">
        <v>392</v>
      </c>
      <c r="D27" s="5" t="s">
        <v>449</v>
      </c>
      <c r="E27" s="5" t="s">
        <v>462</v>
      </c>
      <c r="F27" s="5" t="s">
        <v>463</v>
      </c>
      <c r="G27" s="25" t="s">
        <v>80</v>
      </c>
      <c r="H27" s="26"/>
      <c r="I27" s="25" t="s">
        <v>25</v>
      </c>
      <c r="J27" s="25" t="n">
        <v>0</v>
      </c>
      <c r="K27" s="27" t="n">
        <f aca="false">IF(OR(I27="Diterapkan",I27="Tidak Berlaku (N/A)"),1,IF(I27="Dalam Proses",0.5,0))</f>
        <v>0</v>
      </c>
      <c r="L27" s="26"/>
      <c r="M27" s="26"/>
      <c r="N27" s="28"/>
      <c r="O27" s="28"/>
      <c r="P27" s="25" t="s">
        <v>89</v>
      </c>
      <c r="Q27" s="28"/>
      <c r="R27" s="28"/>
      <c r="S27" s="26"/>
    </row>
    <row r="28" customFormat="false" ht="23.85" hidden="false" customHeight="false" outlineLevel="0" collapsed="false">
      <c r="A28" s="15" t="n">
        <v>24</v>
      </c>
      <c r="B28" s="5" t="s">
        <v>464</v>
      </c>
      <c r="C28" s="5" t="s">
        <v>392</v>
      </c>
      <c r="D28" s="5" t="s">
        <v>449</v>
      </c>
      <c r="E28" s="5" t="s">
        <v>465</v>
      </c>
      <c r="F28" s="5" t="s">
        <v>466</v>
      </c>
      <c r="G28" s="25" t="s">
        <v>80</v>
      </c>
      <c r="H28" s="26"/>
      <c r="I28" s="25" t="s">
        <v>25</v>
      </c>
      <c r="J28" s="25" t="n">
        <v>0</v>
      </c>
      <c r="K28" s="27" t="n">
        <f aca="false">IF(OR(I28="Diterapkan",I28="Tidak Berlaku (N/A)"),1,IF(I28="Dalam Proses",0.5,0))</f>
        <v>0</v>
      </c>
      <c r="L28" s="26"/>
      <c r="M28" s="26"/>
      <c r="N28" s="28"/>
      <c r="O28" s="28"/>
      <c r="P28" s="25" t="s">
        <v>89</v>
      </c>
      <c r="Q28" s="28"/>
      <c r="R28" s="28"/>
      <c r="S28" s="26"/>
    </row>
    <row r="29" customFormat="false" ht="15" hidden="false" customHeight="false" outlineLevel="0" collapsed="false">
      <c r="A29" s="15" t="n">
        <v>25</v>
      </c>
      <c r="B29" s="5" t="s">
        <v>467</v>
      </c>
      <c r="C29" s="5" t="s">
        <v>392</v>
      </c>
      <c r="D29" s="5" t="s">
        <v>449</v>
      </c>
      <c r="E29" s="5" t="s">
        <v>468</v>
      </c>
      <c r="F29" s="5" t="s">
        <v>469</v>
      </c>
      <c r="G29" s="25" t="s">
        <v>80</v>
      </c>
      <c r="H29" s="26"/>
      <c r="I29" s="25" t="s">
        <v>25</v>
      </c>
      <c r="J29" s="25" t="n">
        <v>0</v>
      </c>
      <c r="K29" s="27" t="n">
        <f aca="false">IF(OR(I29="Diterapkan",I29="Tidak Berlaku (N/A)"),1,IF(I29="Dalam Proses",0.5,0))</f>
        <v>0</v>
      </c>
      <c r="L29" s="26"/>
      <c r="M29" s="26"/>
      <c r="N29" s="28"/>
      <c r="O29" s="28"/>
      <c r="P29" s="25" t="s">
        <v>89</v>
      </c>
      <c r="Q29" s="28"/>
      <c r="R29" s="28"/>
      <c r="S29" s="26"/>
    </row>
    <row r="30" customFormat="false" ht="23.85" hidden="false" customHeight="false" outlineLevel="0" collapsed="false">
      <c r="A30" s="15" t="n">
        <v>26</v>
      </c>
      <c r="B30" s="5" t="s">
        <v>470</v>
      </c>
      <c r="C30" s="5" t="s">
        <v>392</v>
      </c>
      <c r="D30" s="5" t="s">
        <v>449</v>
      </c>
      <c r="E30" s="5" t="s">
        <v>471</v>
      </c>
      <c r="F30" s="5" t="s">
        <v>472</v>
      </c>
      <c r="G30" s="25" t="s">
        <v>80</v>
      </c>
      <c r="H30" s="26"/>
      <c r="I30" s="25" t="s">
        <v>25</v>
      </c>
      <c r="J30" s="25" t="n">
        <v>0</v>
      </c>
      <c r="K30" s="27" t="n">
        <f aca="false">IF(OR(I30="Diterapkan",I30="Tidak Berlaku (N/A)"),1,IF(I30="Dalam Proses",0.5,0))</f>
        <v>0</v>
      </c>
      <c r="L30" s="26"/>
      <c r="M30" s="26"/>
      <c r="N30" s="28"/>
      <c r="O30" s="28"/>
      <c r="P30" s="25" t="s">
        <v>89</v>
      </c>
      <c r="Q30" s="28"/>
      <c r="R30" s="28"/>
      <c r="S30" s="26"/>
    </row>
    <row r="31" customFormat="false" ht="23.85" hidden="false" customHeight="false" outlineLevel="0" collapsed="false">
      <c r="A31" s="15" t="n">
        <v>27</v>
      </c>
      <c r="B31" s="5" t="s">
        <v>473</v>
      </c>
      <c r="C31" s="5" t="s">
        <v>392</v>
      </c>
      <c r="D31" s="5" t="s">
        <v>449</v>
      </c>
      <c r="E31" s="5" t="s">
        <v>474</v>
      </c>
      <c r="F31" s="5" t="s">
        <v>475</v>
      </c>
      <c r="G31" s="25" t="s">
        <v>80</v>
      </c>
      <c r="H31" s="26"/>
      <c r="I31" s="25" t="s">
        <v>25</v>
      </c>
      <c r="J31" s="25" t="n">
        <v>0</v>
      </c>
      <c r="K31" s="27" t="n">
        <f aca="false">IF(OR(I31="Diterapkan",I31="Tidak Berlaku (N/A)"),1,IF(I31="Dalam Proses",0.5,0))</f>
        <v>0</v>
      </c>
      <c r="L31" s="26"/>
      <c r="M31" s="26"/>
      <c r="N31" s="28"/>
      <c r="O31" s="28"/>
      <c r="P31" s="25" t="s">
        <v>89</v>
      </c>
      <c r="Q31" s="28"/>
      <c r="R31" s="28"/>
      <c r="S31" s="26"/>
    </row>
    <row r="32" customFormat="false" ht="23.85" hidden="false" customHeight="false" outlineLevel="0" collapsed="false">
      <c r="A32" s="15" t="n">
        <v>28</v>
      </c>
      <c r="B32" s="5" t="s">
        <v>476</v>
      </c>
      <c r="C32" s="5" t="s">
        <v>392</v>
      </c>
      <c r="D32" s="5" t="s">
        <v>477</v>
      </c>
      <c r="E32" s="5" t="s">
        <v>478</v>
      </c>
      <c r="F32" s="5" t="s">
        <v>479</v>
      </c>
      <c r="G32" s="25" t="s">
        <v>80</v>
      </c>
      <c r="H32" s="26"/>
      <c r="I32" s="25" t="s">
        <v>25</v>
      </c>
      <c r="J32" s="25" t="n">
        <v>0</v>
      </c>
      <c r="K32" s="27" t="n">
        <f aca="false">IF(OR(I32="Diterapkan",I32="Tidak Berlaku (N/A)"),1,IF(I32="Dalam Proses",0.5,0))</f>
        <v>0</v>
      </c>
      <c r="L32" s="26"/>
      <c r="M32" s="26"/>
      <c r="N32" s="28"/>
      <c r="O32" s="28"/>
      <c r="P32" s="25" t="s">
        <v>89</v>
      </c>
      <c r="Q32" s="28"/>
      <c r="R32" s="28"/>
      <c r="S32" s="26"/>
    </row>
    <row r="33" customFormat="false" ht="23.85" hidden="false" customHeight="false" outlineLevel="0" collapsed="false">
      <c r="A33" s="15" t="n">
        <v>29</v>
      </c>
      <c r="B33" s="5" t="s">
        <v>480</v>
      </c>
      <c r="C33" s="5" t="s">
        <v>392</v>
      </c>
      <c r="D33" s="5" t="s">
        <v>477</v>
      </c>
      <c r="E33" s="5" t="s">
        <v>481</v>
      </c>
      <c r="F33" s="5" t="s">
        <v>482</v>
      </c>
      <c r="G33" s="25" t="s">
        <v>80</v>
      </c>
      <c r="H33" s="26"/>
      <c r="I33" s="25" t="s">
        <v>25</v>
      </c>
      <c r="J33" s="25" t="n">
        <v>0</v>
      </c>
      <c r="K33" s="27" t="n">
        <f aca="false">IF(OR(I33="Diterapkan",I33="Tidak Berlaku (N/A)"),1,IF(I33="Dalam Proses",0.5,0))</f>
        <v>0</v>
      </c>
      <c r="L33" s="26"/>
      <c r="M33" s="26"/>
      <c r="N33" s="28"/>
      <c r="O33" s="28"/>
      <c r="P33" s="25" t="s">
        <v>89</v>
      </c>
      <c r="Q33" s="28"/>
      <c r="R33" s="28"/>
      <c r="S33" s="26"/>
    </row>
    <row r="34" customFormat="false" ht="23.85" hidden="false" customHeight="false" outlineLevel="0" collapsed="false">
      <c r="A34" s="15" t="n">
        <v>30</v>
      </c>
      <c r="B34" s="5" t="s">
        <v>483</v>
      </c>
      <c r="C34" s="5" t="s">
        <v>392</v>
      </c>
      <c r="D34" s="5" t="s">
        <v>477</v>
      </c>
      <c r="E34" s="5" t="s">
        <v>484</v>
      </c>
      <c r="F34" s="5" t="s">
        <v>485</v>
      </c>
      <c r="G34" s="25" t="s">
        <v>80</v>
      </c>
      <c r="H34" s="26"/>
      <c r="I34" s="25" t="s">
        <v>25</v>
      </c>
      <c r="J34" s="25" t="n">
        <v>0</v>
      </c>
      <c r="K34" s="27" t="n">
        <f aca="false">IF(OR(I34="Diterapkan",I34="Tidak Berlaku (N/A)"),1,IF(I34="Dalam Proses",0.5,0))</f>
        <v>0</v>
      </c>
      <c r="L34" s="26"/>
      <c r="M34" s="26"/>
      <c r="N34" s="28"/>
      <c r="O34" s="28"/>
      <c r="P34" s="25" t="s">
        <v>89</v>
      </c>
      <c r="Q34" s="28"/>
      <c r="R34" s="28"/>
      <c r="S34" s="26"/>
    </row>
    <row r="35" customFormat="false" ht="23.85" hidden="false" customHeight="false" outlineLevel="0" collapsed="false">
      <c r="A35" s="15" t="n">
        <v>31</v>
      </c>
      <c r="B35" s="5" t="s">
        <v>486</v>
      </c>
      <c r="C35" s="5" t="s">
        <v>392</v>
      </c>
      <c r="D35" s="5" t="s">
        <v>477</v>
      </c>
      <c r="E35" s="5" t="s">
        <v>487</v>
      </c>
      <c r="F35" s="5" t="s">
        <v>488</v>
      </c>
      <c r="G35" s="25" t="s">
        <v>80</v>
      </c>
      <c r="H35" s="26"/>
      <c r="I35" s="25" t="s">
        <v>25</v>
      </c>
      <c r="J35" s="25" t="n">
        <v>0</v>
      </c>
      <c r="K35" s="27" t="n">
        <f aca="false">IF(OR(I35="Diterapkan",I35="Tidak Berlaku (N/A)"),1,IF(I35="Dalam Proses",0.5,0))</f>
        <v>0</v>
      </c>
      <c r="L35" s="26"/>
      <c r="M35" s="26"/>
      <c r="N35" s="28"/>
      <c r="O35" s="28"/>
      <c r="P35" s="25" t="s">
        <v>89</v>
      </c>
      <c r="Q35" s="28"/>
      <c r="R35" s="28"/>
      <c r="S35" s="26"/>
    </row>
  </sheetData>
  <mergeCells count="2">
    <mergeCell ref="A1:S1"/>
    <mergeCell ref="A2:S2"/>
  </mergeCells>
  <conditionalFormatting sqref="I5:I35">
    <cfRule type="expression" priority="2" aboveAverage="0" equalAverage="0" bottom="0" percent="0" rank="0" text="" dxfId="0">
      <formula>$I5="Belum Dimulai"</formula>
    </cfRule>
    <cfRule type="expression" priority="3" aboveAverage="0" equalAverage="0" bottom="0" percent="0" rank="0" text="" dxfId="1">
      <formula>$I5="Dalam Proses"</formula>
    </cfRule>
    <cfRule type="expression" priority="4" aboveAverage="0" equalAverage="0" bottom="0" percent="0" rank="0" text="" dxfId="2">
      <formula>$I5="Diterapkan"</formula>
    </cfRule>
    <cfRule type="expression" priority="5" aboveAverage="0" equalAverage="0" bottom="0" percent="0" rank="0" text="" dxfId="3">
      <formula>$I5="Tidak Berlaku (N/A)"</formula>
    </cfRule>
  </conditionalFormatting>
  <conditionalFormatting sqref="H5">
    <cfRule type="expression" priority="6" aboveAverage="0" equalAverage="0" bottom="0" percent="0" rank="0" text="" dxfId="4">
      <formula>0</formula>
    </cfRule>
    <cfRule type="expression" priority="7" aboveAverage="0" equalAverage="0" bottom="0" percent="0" rank="0" text="" dxfId="4">
      <formula>0</formula>
    </cfRule>
    <cfRule type="expression" priority="8" aboveAverage="0" equalAverage="0" bottom="0" percent="0" rank="0" text="" dxfId="4">
      <formula>0</formula>
    </cfRule>
    <cfRule type="expression" priority="9" aboveAverage="0" equalAverage="0" bottom="0" percent="0" rank="0" text="" dxfId="4">
      <formula>0</formula>
    </cfRule>
  </conditionalFormatting>
  <conditionalFormatting sqref="K5:K35">
    <cfRule type="colorScale" priority="10">
      <colorScale>
        <cfvo type="num" val="0"/>
        <cfvo type="num" val="0.5"/>
        <cfvo type="num" val="1"/>
        <color rgb="FFF4CCCC"/>
        <color rgb="FFFCE5CD"/>
        <color rgb="FFD9EAD3"/>
      </colorScale>
    </cfRule>
  </conditionalFormatting>
  <dataValidations count="4">
    <dataValidation allowBlank="false" errorStyle="stop" operator="between" showDropDown="false" showErrorMessage="false" showInputMessage="false" sqref="G5:G35" type="list">
      <formula1>"Ya,Tidak"</formula1>
      <formula2>0</formula2>
    </dataValidation>
    <dataValidation allowBlank="false" errorStyle="stop" operator="between" showDropDown="false" showErrorMessage="false" showInputMessage="false" sqref="I5:I35" type="list">
      <formula1>"Belum Dimulai,Dalam Proses,Diterapkan,Tidak Berlaku (N/A)"</formula1>
      <formula2>0</formula2>
    </dataValidation>
    <dataValidation allowBlank="false" errorStyle="stop" operator="between" showDropDown="false" showErrorMessage="false" showInputMessage="false" sqref="J5:J35" type="list">
      <formula1>"0,1,2,3,4,5"</formula1>
      <formula2>0</formula2>
    </dataValidation>
    <dataValidation allowBlank="false" errorStyle="stop" operator="between" showDropDown="false" showErrorMessage="false" showInputMessage="false" sqref="P5:P35" type="list">
      <formula1>"Tinggi,Sedang,Rendah"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42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26"/>
    <col collapsed="false" customWidth="true" hidden="false" outlineLevel="0" max="15" min="14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5"/>
    <col collapsed="false" customWidth="true" hidden="false" outlineLevel="0" max="19" min="19" style="0" width="30"/>
  </cols>
  <sheetData>
    <row r="1" customFormat="false" ht="25.5" hidden="false" customHeight="true" outlineLevel="0" collapsed="false">
      <c r="A1" s="23" t="s">
        <v>489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customFormat="false" ht="15.75" hidden="false" customHeight="true" outlineLevel="0" collapsed="false">
      <c r="A2" s="24" t="s">
        <v>59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4" customFormat="false" ht="31.5" hidden="false" customHeight="true" outlineLevel="0" collapsed="false">
      <c r="A4" s="13" t="s">
        <v>60</v>
      </c>
      <c r="B4" s="13" t="s">
        <v>61</v>
      </c>
      <c r="C4" s="13" t="s">
        <v>62</v>
      </c>
      <c r="D4" s="13" t="s">
        <v>63</v>
      </c>
      <c r="E4" s="13" t="s">
        <v>64</v>
      </c>
      <c r="F4" s="13" t="s">
        <v>65</v>
      </c>
      <c r="G4" s="13" t="s">
        <v>66</v>
      </c>
      <c r="H4" s="13" t="s">
        <v>67</v>
      </c>
      <c r="I4" s="13" t="s">
        <v>10</v>
      </c>
      <c r="J4" s="13" t="s">
        <v>12</v>
      </c>
      <c r="K4" s="13" t="s">
        <v>68</v>
      </c>
      <c r="L4" s="13" t="s">
        <v>69</v>
      </c>
      <c r="M4" s="13" t="s">
        <v>70</v>
      </c>
      <c r="N4" s="13" t="s">
        <v>71</v>
      </c>
      <c r="O4" s="13" t="s">
        <v>72</v>
      </c>
      <c r="P4" s="13" t="s">
        <v>16</v>
      </c>
      <c r="Q4" s="13" t="s">
        <v>73</v>
      </c>
      <c r="R4" s="13" t="s">
        <v>74</v>
      </c>
      <c r="S4" s="13" t="s">
        <v>75</v>
      </c>
    </row>
    <row r="5" customFormat="false" ht="35.05" hidden="false" customHeight="false" outlineLevel="0" collapsed="false">
      <c r="A5" s="15" t="n">
        <v>1</v>
      </c>
      <c r="B5" s="5" t="s">
        <v>490</v>
      </c>
      <c r="C5" s="5" t="s">
        <v>491</v>
      </c>
      <c r="D5" s="5" t="s">
        <v>393</v>
      </c>
      <c r="E5" s="5" t="s">
        <v>492</v>
      </c>
      <c r="F5" s="5" t="s">
        <v>493</v>
      </c>
      <c r="G5" s="25" t="s">
        <v>80</v>
      </c>
      <c r="H5" s="26"/>
      <c r="I5" s="25" t="s">
        <v>26</v>
      </c>
      <c r="J5" s="25" t="n">
        <v>3</v>
      </c>
      <c r="K5" s="27" t="n">
        <f aca="false">IF(OR(I5="Diterapkan",I5="Tidak Berlaku (N/A)"),1,IF(I5="Dalam Proses",0.5,0))</f>
        <v>0.5</v>
      </c>
      <c r="L5" s="26" t="s">
        <v>81</v>
      </c>
      <c r="M5" s="26" t="s">
        <v>82</v>
      </c>
      <c r="N5" s="28" t="n">
        <v>46333</v>
      </c>
      <c r="O5" s="28"/>
      <c r="P5" s="25" t="s">
        <v>83</v>
      </c>
      <c r="Q5" s="28" t="n">
        <v>46243</v>
      </c>
      <c r="R5" s="28" t="n">
        <v>46423</v>
      </c>
      <c r="S5" s="26" t="s">
        <v>84</v>
      </c>
    </row>
    <row r="6" customFormat="false" ht="23.85" hidden="false" customHeight="false" outlineLevel="0" collapsed="false">
      <c r="A6" s="15" t="n">
        <v>2</v>
      </c>
      <c r="B6" s="5" t="s">
        <v>494</v>
      </c>
      <c r="C6" s="5" t="s">
        <v>491</v>
      </c>
      <c r="D6" s="5" t="s">
        <v>393</v>
      </c>
      <c r="E6" s="5" t="s">
        <v>495</v>
      </c>
      <c r="F6" s="5" t="s">
        <v>496</v>
      </c>
      <c r="G6" s="25" t="s">
        <v>80</v>
      </c>
      <c r="H6" s="26"/>
      <c r="I6" s="25" t="s">
        <v>25</v>
      </c>
      <c r="J6" s="25" t="n">
        <v>0</v>
      </c>
      <c r="K6" s="27" t="n">
        <f aca="false">IF(OR(I6="Diterapkan",I6="Tidak Berlaku (N/A)"),1,IF(I6="Dalam Proses",0.5,0))</f>
        <v>0</v>
      </c>
      <c r="L6" s="26"/>
      <c r="M6" s="26"/>
      <c r="N6" s="28"/>
      <c r="O6" s="28"/>
      <c r="P6" s="25" t="s">
        <v>89</v>
      </c>
      <c r="Q6" s="28"/>
      <c r="R6" s="28"/>
      <c r="S6" s="26"/>
    </row>
    <row r="7" customFormat="false" ht="23.85" hidden="false" customHeight="false" outlineLevel="0" collapsed="false">
      <c r="A7" s="15" t="n">
        <v>3</v>
      </c>
      <c r="B7" s="5" t="s">
        <v>497</v>
      </c>
      <c r="C7" s="5" t="s">
        <v>491</v>
      </c>
      <c r="D7" s="5" t="s">
        <v>393</v>
      </c>
      <c r="E7" s="5" t="s">
        <v>498</v>
      </c>
      <c r="F7" s="5" t="s">
        <v>499</v>
      </c>
      <c r="G7" s="25" t="s">
        <v>80</v>
      </c>
      <c r="H7" s="26"/>
      <c r="I7" s="25" t="s">
        <v>25</v>
      </c>
      <c r="J7" s="25" t="n">
        <v>0</v>
      </c>
      <c r="K7" s="27" t="n">
        <f aca="false">IF(OR(I7="Diterapkan",I7="Tidak Berlaku (N/A)"),1,IF(I7="Dalam Proses",0.5,0))</f>
        <v>0</v>
      </c>
      <c r="L7" s="26"/>
      <c r="M7" s="26"/>
      <c r="N7" s="28"/>
      <c r="O7" s="28"/>
      <c r="P7" s="25" t="s">
        <v>89</v>
      </c>
      <c r="Q7" s="28"/>
      <c r="R7" s="28"/>
      <c r="S7" s="26"/>
    </row>
    <row r="8" customFormat="false" ht="23.85" hidden="false" customHeight="false" outlineLevel="0" collapsed="false">
      <c r="A8" s="15" t="n">
        <v>4</v>
      </c>
      <c r="B8" s="5" t="s">
        <v>500</v>
      </c>
      <c r="C8" s="5" t="s">
        <v>491</v>
      </c>
      <c r="D8" s="5" t="s">
        <v>393</v>
      </c>
      <c r="E8" s="5" t="s">
        <v>501</v>
      </c>
      <c r="F8" s="5" t="s">
        <v>502</v>
      </c>
      <c r="G8" s="25" t="s">
        <v>80</v>
      </c>
      <c r="H8" s="26"/>
      <c r="I8" s="25" t="s">
        <v>25</v>
      </c>
      <c r="J8" s="25" t="n">
        <v>0</v>
      </c>
      <c r="K8" s="27" t="n">
        <f aca="false">IF(OR(I8="Diterapkan",I8="Tidak Berlaku (N/A)"),1,IF(I8="Dalam Proses",0.5,0))</f>
        <v>0</v>
      </c>
      <c r="L8" s="26"/>
      <c r="M8" s="26"/>
      <c r="N8" s="28"/>
      <c r="O8" s="28"/>
      <c r="P8" s="25" t="s">
        <v>89</v>
      </c>
      <c r="Q8" s="28"/>
      <c r="R8" s="28"/>
      <c r="S8" s="26"/>
    </row>
    <row r="9" customFormat="false" ht="23.85" hidden="false" customHeight="false" outlineLevel="0" collapsed="false">
      <c r="A9" s="15" t="n">
        <v>5</v>
      </c>
      <c r="B9" s="5" t="s">
        <v>503</v>
      </c>
      <c r="C9" s="5" t="s">
        <v>491</v>
      </c>
      <c r="D9" s="5" t="s">
        <v>393</v>
      </c>
      <c r="E9" s="5" t="s">
        <v>504</v>
      </c>
      <c r="F9" s="5" t="s">
        <v>505</v>
      </c>
      <c r="G9" s="25" t="s">
        <v>80</v>
      </c>
      <c r="H9" s="26"/>
      <c r="I9" s="25" t="s">
        <v>25</v>
      </c>
      <c r="J9" s="25" t="n">
        <v>0</v>
      </c>
      <c r="K9" s="27" t="n">
        <f aca="false">IF(OR(I9="Diterapkan",I9="Tidak Berlaku (N/A)"),1,IF(I9="Dalam Proses",0.5,0))</f>
        <v>0</v>
      </c>
      <c r="L9" s="26"/>
      <c r="M9" s="26"/>
      <c r="N9" s="28"/>
      <c r="O9" s="28"/>
      <c r="P9" s="25" t="s">
        <v>89</v>
      </c>
      <c r="Q9" s="28"/>
      <c r="R9" s="28"/>
      <c r="S9" s="26"/>
    </row>
    <row r="10" customFormat="false" ht="23.85" hidden="false" customHeight="false" outlineLevel="0" collapsed="false">
      <c r="A10" s="15" t="n">
        <v>6</v>
      </c>
      <c r="B10" s="5" t="s">
        <v>506</v>
      </c>
      <c r="C10" s="5" t="s">
        <v>491</v>
      </c>
      <c r="D10" s="5" t="s">
        <v>393</v>
      </c>
      <c r="E10" s="5" t="s">
        <v>507</v>
      </c>
      <c r="F10" s="5" t="s">
        <v>508</v>
      </c>
      <c r="G10" s="25" t="s">
        <v>80</v>
      </c>
      <c r="H10" s="26"/>
      <c r="I10" s="25" t="s">
        <v>25</v>
      </c>
      <c r="J10" s="25" t="n">
        <v>0</v>
      </c>
      <c r="K10" s="27" t="n">
        <f aca="false">IF(OR(I10="Diterapkan",I10="Tidak Berlaku (N/A)"),1,IF(I10="Dalam Proses",0.5,0))</f>
        <v>0</v>
      </c>
      <c r="L10" s="26"/>
      <c r="M10" s="26"/>
      <c r="N10" s="28"/>
      <c r="O10" s="28"/>
      <c r="P10" s="25" t="s">
        <v>89</v>
      </c>
      <c r="Q10" s="28"/>
      <c r="R10" s="28"/>
      <c r="S10" s="26"/>
    </row>
    <row r="11" customFormat="false" ht="23.85" hidden="false" customHeight="false" outlineLevel="0" collapsed="false">
      <c r="A11" s="15" t="n">
        <v>7</v>
      </c>
      <c r="B11" s="5" t="s">
        <v>509</v>
      </c>
      <c r="C11" s="5" t="s">
        <v>491</v>
      </c>
      <c r="D11" s="5" t="s">
        <v>418</v>
      </c>
      <c r="E11" s="5" t="s">
        <v>510</v>
      </c>
      <c r="F11" s="5" t="s">
        <v>511</v>
      </c>
      <c r="G11" s="25" t="s">
        <v>80</v>
      </c>
      <c r="H11" s="26"/>
      <c r="I11" s="25" t="s">
        <v>25</v>
      </c>
      <c r="J11" s="25" t="n">
        <v>0</v>
      </c>
      <c r="K11" s="27" t="n">
        <f aca="false">IF(OR(I11="Diterapkan",I11="Tidak Berlaku (N/A)"),1,IF(I11="Dalam Proses",0.5,0))</f>
        <v>0</v>
      </c>
      <c r="L11" s="26"/>
      <c r="M11" s="26"/>
      <c r="N11" s="28"/>
      <c r="O11" s="28"/>
      <c r="P11" s="25" t="s">
        <v>89</v>
      </c>
      <c r="Q11" s="28"/>
      <c r="R11" s="28"/>
      <c r="S11" s="26"/>
    </row>
    <row r="12" customFormat="false" ht="23.85" hidden="false" customHeight="false" outlineLevel="0" collapsed="false">
      <c r="A12" s="15" t="n">
        <v>8</v>
      </c>
      <c r="B12" s="5" t="s">
        <v>512</v>
      </c>
      <c r="C12" s="5" t="s">
        <v>491</v>
      </c>
      <c r="D12" s="5" t="s">
        <v>449</v>
      </c>
      <c r="E12" s="5" t="s">
        <v>465</v>
      </c>
      <c r="F12" s="5" t="s">
        <v>466</v>
      </c>
      <c r="G12" s="25" t="s">
        <v>80</v>
      </c>
      <c r="H12" s="26"/>
      <c r="I12" s="25" t="s">
        <v>25</v>
      </c>
      <c r="J12" s="25" t="n">
        <v>0</v>
      </c>
      <c r="K12" s="27" t="n">
        <f aca="false">IF(OR(I12="Diterapkan",I12="Tidak Berlaku (N/A)"),1,IF(I12="Dalam Proses",0.5,0))</f>
        <v>0</v>
      </c>
      <c r="L12" s="26"/>
      <c r="M12" s="26"/>
      <c r="N12" s="28"/>
      <c r="O12" s="28"/>
      <c r="P12" s="25" t="s">
        <v>89</v>
      </c>
      <c r="Q12" s="28"/>
      <c r="R12" s="28"/>
      <c r="S12" s="26"/>
    </row>
    <row r="13" customFormat="false" ht="23.85" hidden="false" customHeight="false" outlineLevel="0" collapsed="false">
      <c r="A13" s="15" t="n">
        <v>9</v>
      </c>
      <c r="B13" s="5" t="s">
        <v>513</v>
      </c>
      <c r="C13" s="5" t="s">
        <v>491</v>
      </c>
      <c r="D13" s="5" t="s">
        <v>449</v>
      </c>
      <c r="E13" s="5" t="s">
        <v>514</v>
      </c>
      <c r="F13" s="5" t="s">
        <v>515</v>
      </c>
      <c r="G13" s="25" t="s">
        <v>80</v>
      </c>
      <c r="H13" s="26"/>
      <c r="I13" s="25" t="s">
        <v>25</v>
      </c>
      <c r="J13" s="25" t="n">
        <v>0</v>
      </c>
      <c r="K13" s="27" t="n">
        <f aca="false">IF(OR(I13="Diterapkan",I13="Tidak Berlaku (N/A)"),1,IF(I13="Dalam Proses",0.5,0))</f>
        <v>0</v>
      </c>
      <c r="L13" s="26"/>
      <c r="M13" s="26"/>
      <c r="N13" s="28"/>
      <c r="O13" s="28"/>
      <c r="P13" s="25" t="s">
        <v>89</v>
      </c>
      <c r="Q13" s="28"/>
      <c r="R13" s="28"/>
      <c r="S13" s="26"/>
    </row>
    <row r="14" customFormat="false" ht="23.85" hidden="false" customHeight="false" outlineLevel="0" collapsed="false">
      <c r="A14" s="15" t="n">
        <v>10</v>
      </c>
      <c r="B14" s="5" t="s">
        <v>516</v>
      </c>
      <c r="C14" s="5" t="s">
        <v>491</v>
      </c>
      <c r="D14" s="5" t="s">
        <v>449</v>
      </c>
      <c r="E14" s="5" t="s">
        <v>474</v>
      </c>
      <c r="F14" s="5" t="s">
        <v>475</v>
      </c>
      <c r="G14" s="25" t="s">
        <v>80</v>
      </c>
      <c r="H14" s="26"/>
      <c r="I14" s="25" t="s">
        <v>25</v>
      </c>
      <c r="J14" s="25" t="n">
        <v>0</v>
      </c>
      <c r="K14" s="27" t="n">
        <f aca="false">IF(OR(I14="Diterapkan",I14="Tidak Berlaku (N/A)"),1,IF(I14="Dalam Proses",0.5,0))</f>
        <v>0</v>
      </c>
      <c r="L14" s="26"/>
      <c r="M14" s="26"/>
      <c r="N14" s="28"/>
      <c r="O14" s="28"/>
      <c r="P14" s="25" t="s">
        <v>89</v>
      </c>
      <c r="Q14" s="28"/>
      <c r="R14" s="28"/>
      <c r="S14" s="26"/>
    </row>
    <row r="15" customFormat="false" ht="23.85" hidden="false" customHeight="false" outlineLevel="0" collapsed="false">
      <c r="A15" s="15" t="n">
        <v>11</v>
      </c>
      <c r="B15" s="5" t="s">
        <v>517</v>
      </c>
      <c r="C15" s="5" t="s">
        <v>491</v>
      </c>
      <c r="D15" s="5" t="s">
        <v>477</v>
      </c>
      <c r="E15" s="5" t="s">
        <v>478</v>
      </c>
      <c r="F15" s="5" t="s">
        <v>479</v>
      </c>
      <c r="G15" s="25" t="s">
        <v>80</v>
      </c>
      <c r="H15" s="26"/>
      <c r="I15" s="25" t="s">
        <v>25</v>
      </c>
      <c r="J15" s="25" t="n">
        <v>0</v>
      </c>
      <c r="K15" s="27" t="n">
        <f aca="false">IF(OR(I15="Diterapkan",I15="Tidak Berlaku (N/A)"),1,IF(I15="Dalam Proses",0.5,0))</f>
        <v>0</v>
      </c>
      <c r="L15" s="26"/>
      <c r="M15" s="26"/>
      <c r="N15" s="28"/>
      <c r="O15" s="28"/>
      <c r="P15" s="25" t="s">
        <v>89</v>
      </c>
      <c r="Q15" s="28"/>
      <c r="R15" s="28"/>
      <c r="S15" s="26"/>
    </row>
    <row r="16" customFormat="false" ht="23.85" hidden="false" customHeight="false" outlineLevel="0" collapsed="false">
      <c r="A16" s="15" t="n">
        <v>12</v>
      </c>
      <c r="B16" s="5" t="s">
        <v>518</v>
      </c>
      <c r="C16" s="5" t="s">
        <v>491</v>
      </c>
      <c r="D16" s="5" t="s">
        <v>477</v>
      </c>
      <c r="E16" s="5" t="s">
        <v>481</v>
      </c>
      <c r="F16" s="5" t="s">
        <v>482</v>
      </c>
      <c r="G16" s="25" t="s">
        <v>80</v>
      </c>
      <c r="H16" s="26"/>
      <c r="I16" s="25" t="s">
        <v>25</v>
      </c>
      <c r="J16" s="25" t="n">
        <v>0</v>
      </c>
      <c r="K16" s="27" t="n">
        <f aca="false">IF(OR(I16="Diterapkan",I16="Tidak Berlaku (N/A)"),1,IF(I16="Dalam Proses",0.5,0))</f>
        <v>0</v>
      </c>
      <c r="L16" s="26"/>
      <c r="M16" s="26"/>
      <c r="N16" s="28"/>
      <c r="O16" s="28"/>
      <c r="P16" s="25" t="s">
        <v>89</v>
      </c>
      <c r="Q16" s="28"/>
      <c r="R16" s="28"/>
      <c r="S16" s="26"/>
    </row>
    <row r="17" customFormat="false" ht="23.85" hidden="false" customHeight="false" outlineLevel="0" collapsed="false">
      <c r="A17" s="15" t="n">
        <v>13</v>
      </c>
      <c r="B17" s="5" t="s">
        <v>519</v>
      </c>
      <c r="C17" s="5" t="s">
        <v>491</v>
      </c>
      <c r="D17" s="5" t="s">
        <v>477</v>
      </c>
      <c r="E17" s="5" t="s">
        <v>520</v>
      </c>
      <c r="F17" s="5" t="s">
        <v>488</v>
      </c>
      <c r="G17" s="25" t="s">
        <v>80</v>
      </c>
      <c r="H17" s="26"/>
      <c r="I17" s="25" t="s">
        <v>25</v>
      </c>
      <c r="J17" s="25" t="n">
        <v>0</v>
      </c>
      <c r="K17" s="27" t="n">
        <f aca="false">IF(OR(I17="Diterapkan",I17="Tidak Berlaku (N/A)"),1,IF(I17="Dalam Proses",0.5,0))</f>
        <v>0</v>
      </c>
      <c r="L17" s="26"/>
      <c r="M17" s="26"/>
      <c r="N17" s="28"/>
      <c r="O17" s="28"/>
      <c r="P17" s="25" t="s">
        <v>89</v>
      </c>
      <c r="Q17" s="28"/>
      <c r="R17" s="28"/>
      <c r="S17" s="26"/>
    </row>
    <row r="18" customFormat="false" ht="23.85" hidden="false" customHeight="false" outlineLevel="0" collapsed="false">
      <c r="A18" s="15" t="n">
        <v>14</v>
      </c>
      <c r="B18" s="5" t="s">
        <v>521</v>
      </c>
      <c r="C18" s="5" t="s">
        <v>491</v>
      </c>
      <c r="D18" s="5" t="s">
        <v>477</v>
      </c>
      <c r="E18" s="5" t="s">
        <v>522</v>
      </c>
      <c r="F18" s="5" t="s">
        <v>523</v>
      </c>
      <c r="G18" s="25" t="s">
        <v>80</v>
      </c>
      <c r="H18" s="26"/>
      <c r="I18" s="25" t="s">
        <v>25</v>
      </c>
      <c r="J18" s="25" t="n">
        <v>0</v>
      </c>
      <c r="K18" s="27" t="n">
        <f aca="false">IF(OR(I18="Diterapkan",I18="Tidak Berlaku (N/A)"),1,IF(I18="Dalam Proses",0.5,0))</f>
        <v>0</v>
      </c>
      <c r="L18" s="26"/>
      <c r="M18" s="26"/>
      <c r="N18" s="28"/>
      <c r="O18" s="28"/>
      <c r="P18" s="25" t="s">
        <v>89</v>
      </c>
      <c r="Q18" s="28"/>
      <c r="R18" s="28"/>
      <c r="S18" s="26"/>
    </row>
    <row r="19" customFormat="false" ht="23.85" hidden="false" customHeight="false" outlineLevel="0" collapsed="false">
      <c r="A19" s="15" t="n">
        <v>15</v>
      </c>
      <c r="B19" s="5" t="s">
        <v>524</v>
      </c>
      <c r="C19" s="5" t="s">
        <v>491</v>
      </c>
      <c r="D19" s="5" t="s">
        <v>477</v>
      </c>
      <c r="E19" s="5" t="s">
        <v>525</v>
      </c>
      <c r="F19" s="5" t="s">
        <v>526</v>
      </c>
      <c r="G19" s="25" t="s">
        <v>80</v>
      </c>
      <c r="H19" s="26"/>
      <c r="I19" s="25" t="s">
        <v>25</v>
      </c>
      <c r="J19" s="25" t="n">
        <v>0</v>
      </c>
      <c r="K19" s="27" t="n">
        <f aca="false">IF(OR(I19="Diterapkan",I19="Tidak Berlaku (N/A)"),1,IF(I19="Dalam Proses",0.5,0))</f>
        <v>0</v>
      </c>
      <c r="L19" s="26"/>
      <c r="M19" s="26"/>
      <c r="N19" s="28"/>
      <c r="O19" s="28"/>
      <c r="P19" s="25" t="s">
        <v>89</v>
      </c>
      <c r="Q19" s="28"/>
      <c r="R19" s="28"/>
      <c r="S19" s="26"/>
    </row>
    <row r="20" customFormat="false" ht="23.85" hidden="false" customHeight="false" outlineLevel="0" collapsed="false">
      <c r="A20" s="15" t="n">
        <v>16</v>
      </c>
      <c r="B20" s="5" t="s">
        <v>527</v>
      </c>
      <c r="C20" s="5" t="s">
        <v>491</v>
      </c>
      <c r="D20" s="5" t="s">
        <v>477</v>
      </c>
      <c r="E20" s="5" t="s">
        <v>528</v>
      </c>
      <c r="F20" s="5" t="s">
        <v>529</v>
      </c>
      <c r="G20" s="25" t="s">
        <v>80</v>
      </c>
      <c r="H20" s="26"/>
      <c r="I20" s="25" t="s">
        <v>25</v>
      </c>
      <c r="J20" s="25" t="n">
        <v>0</v>
      </c>
      <c r="K20" s="27" t="n">
        <f aca="false">IF(OR(I20="Diterapkan",I20="Tidak Berlaku (N/A)"),1,IF(I20="Dalam Proses",0.5,0))</f>
        <v>0</v>
      </c>
      <c r="L20" s="26"/>
      <c r="M20" s="26"/>
      <c r="N20" s="28"/>
      <c r="O20" s="28"/>
      <c r="P20" s="25" t="s">
        <v>89</v>
      </c>
      <c r="Q20" s="28"/>
      <c r="R20" s="28"/>
      <c r="S20" s="26"/>
    </row>
    <row r="21" customFormat="false" ht="23.85" hidden="false" customHeight="false" outlineLevel="0" collapsed="false">
      <c r="A21" s="15" t="n">
        <v>17</v>
      </c>
      <c r="B21" s="5" t="s">
        <v>530</v>
      </c>
      <c r="C21" s="5" t="s">
        <v>491</v>
      </c>
      <c r="D21" s="5" t="s">
        <v>477</v>
      </c>
      <c r="E21" s="5" t="s">
        <v>531</v>
      </c>
      <c r="F21" s="5" t="s">
        <v>532</v>
      </c>
      <c r="G21" s="25" t="s">
        <v>80</v>
      </c>
      <c r="H21" s="26"/>
      <c r="I21" s="25" t="s">
        <v>25</v>
      </c>
      <c r="J21" s="25" t="n">
        <v>0</v>
      </c>
      <c r="K21" s="27" t="n">
        <f aca="false">IF(OR(I21="Diterapkan",I21="Tidak Berlaku (N/A)"),1,IF(I21="Dalam Proses",0.5,0))</f>
        <v>0</v>
      </c>
      <c r="L21" s="26"/>
      <c r="M21" s="26"/>
      <c r="N21" s="28"/>
      <c r="O21" s="28"/>
      <c r="P21" s="25" t="s">
        <v>89</v>
      </c>
      <c r="Q21" s="28"/>
      <c r="R21" s="28"/>
      <c r="S21" s="26"/>
    </row>
    <row r="22" customFormat="false" ht="23.85" hidden="false" customHeight="false" outlineLevel="0" collapsed="false">
      <c r="A22" s="15" t="n">
        <v>18</v>
      </c>
      <c r="B22" s="5" t="s">
        <v>533</v>
      </c>
      <c r="C22" s="5" t="s">
        <v>491</v>
      </c>
      <c r="D22" s="5" t="s">
        <v>477</v>
      </c>
      <c r="E22" s="5" t="s">
        <v>534</v>
      </c>
      <c r="F22" s="5" t="s">
        <v>535</v>
      </c>
      <c r="G22" s="25" t="s">
        <v>80</v>
      </c>
      <c r="H22" s="26"/>
      <c r="I22" s="25" t="s">
        <v>25</v>
      </c>
      <c r="J22" s="25" t="n">
        <v>0</v>
      </c>
      <c r="K22" s="27" t="n">
        <f aca="false">IF(OR(I22="Diterapkan",I22="Tidak Berlaku (N/A)"),1,IF(I22="Dalam Proses",0.5,0))</f>
        <v>0</v>
      </c>
      <c r="L22" s="26"/>
      <c r="M22" s="26"/>
      <c r="N22" s="28"/>
      <c r="O22" s="28"/>
      <c r="P22" s="25" t="s">
        <v>89</v>
      </c>
      <c r="Q22" s="28"/>
      <c r="R22" s="28"/>
      <c r="S22" s="26"/>
    </row>
  </sheetData>
  <mergeCells count="2">
    <mergeCell ref="A1:S1"/>
    <mergeCell ref="A2:S2"/>
  </mergeCells>
  <conditionalFormatting sqref="I5:I22">
    <cfRule type="expression" priority="2" aboveAverage="0" equalAverage="0" bottom="0" percent="0" rank="0" text="" dxfId="0">
      <formula>$I5="Belum Dimulai"</formula>
    </cfRule>
    <cfRule type="expression" priority="3" aboveAverage="0" equalAverage="0" bottom="0" percent="0" rank="0" text="" dxfId="1">
      <formula>$I5="Dalam Proses"</formula>
    </cfRule>
    <cfRule type="expression" priority="4" aboveAverage="0" equalAverage="0" bottom="0" percent="0" rank="0" text="" dxfId="2">
      <formula>$I5="Diterapkan"</formula>
    </cfRule>
    <cfRule type="expression" priority="5" aboveAverage="0" equalAverage="0" bottom="0" percent="0" rank="0" text="" dxfId="3">
      <formula>$I5="Tidak Berlaku (N/A)"</formula>
    </cfRule>
  </conditionalFormatting>
  <conditionalFormatting sqref="H5">
    <cfRule type="expression" priority="6" aboveAverage="0" equalAverage="0" bottom="0" percent="0" rank="0" text="" dxfId="4">
      <formula>0</formula>
    </cfRule>
    <cfRule type="expression" priority="7" aboveAverage="0" equalAverage="0" bottom="0" percent="0" rank="0" text="" dxfId="4">
      <formula>0</formula>
    </cfRule>
    <cfRule type="expression" priority="8" aboveAverage="0" equalAverage="0" bottom="0" percent="0" rank="0" text="" dxfId="4">
      <formula>0</formula>
    </cfRule>
    <cfRule type="expression" priority="9" aboveAverage="0" equalAverage="0" bottom="0" percent="0" rank="0" text="" dxfId="4">
      <formula>0</formula>
    </cfRule>
  </conditionalFormatting>
  <conditionalFormatting sqref="K5:K22">
    <cfRule type="colorScale" priority="10">
      <colorScale>
        <cfvo type="num" val="0"/>
        <cfvo type="num" val="0.5"/>
        <cfvo type="num" val="1"/>
        <color rgb="FFF4CCCC"/>
        <color rgb="FFFCE5CD"/>
        <color rgb="FFD9EAD3"/>
      </colorScale>
    </cfRule>
  </conditionalFormatting>
  <dataValidations count="4">
    <dataValidation allowBlank="false" errorStyle="stop" operator="between" showDropDown="false" showErrorMessage="false" showInputMessage="false" sqref="G5:G22" type="list">
      <formula1>"Ya,Tidak"</formula1>
      <formula2>0</formula2>
    </dataValidation>
    <dataValidation allowBlank="false" errorStyle="stop" operator="between" showDropDown="false" showErrorMessage="false" showInputMessage="false" sqref="I5:I22" type="list">
      <formula1>"Belum Dimulai,Dalam Proses,Diterapkan,Tidak Berlaku (N/A)"</formula1>
      <formula2>0</formula2>
    </dataValidation>
    <dataValidation allowBlank="false" errorStyle="stop" operator="between" showDropDown="false" showErrorMessage="false" showInputMessage="false" sqref="J5:J22" type="list">
      <formula1>"0,1,2,3,4,5"</formula1>
      <formula2>0</formula2>
    </dataValidation>
    <dataValidation allowBlank="false" errorStyle="stop" operator="between" showDropDown="false" showErrorMessage="false" showInputMessage="false" sqref="P5:P22" type="list">
      <formula1>"Tinggi,Sedang,Rendah"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42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26"/>
    <col collapsed="false" customWidth="true" hidden="false" outlineLevel="0" max="15" min="14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5"/>
    <col collapsed="false" customWidth="true" hidden="false" outlineLevel="0" max="19" min="19" style="0" width="30"/>
  </cols>
  <sheetData>
    <row r="1" customFormat="false" ht="25.5" hidden="false" customHeight="true" outlineLevel="0" collapsed="false">
      <c r="A1" s="23" t="s">
        <v>536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customFormat="false" ht="15.75" hidden="false" customHeight="true" outlineLevel="0" collapsed="false">
      <c r="A2" s="24" t="s">
        <v>59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4" customFormat="false" ht="31.5" hidden="false" customHeight="true" outlineLevel="0" collapsed="false">
      <c r="A4" s="13" t="s">
        <v>60</v>
      </c>
      <c r="B4" s="13" t="s">
        <v>61</v>
      </c>
      <c r="C4" s="13" t="s">
        <v>62</v>
      </c>
      <c r="D4" s="13" t="s">
        <v>63</v>
      </c>
      <c r="E4" s="13" t="s">
        <v>64</v>
      </c>
      <c r="F4" s="13" t="s">
        <v>65</v>
      </c>
      <c r="G4" s="13" t="s">
        <v>66</v>
      </c>
      <c r="H4" s="13" t="s">
        <v>67</v>
      </c>
      <c r="I4" s="13" t="s">
        <v>10</v>
      </c>
      <c r="J4" s="13" t="s">
        <v>12</v>
      </c>
      <c r="K4" s="13" t="s">
        <v>68</v>
      </c>
      <c r="L4" s="13" t="s">
        <v>69</v>
      </c>
      <c r="M4" s="13" t="s">
        <v>70</v>
      </c>
      <c r="N4" s="13" t="s">
        <v>71</v>
      </c>
      <c r="O4" s="13" t="s">
        <v>72</v>
      </c>
      <c r="P4" s="13" t="s">
        <v>16</v>
      </c>
      <c r="Q4" s="13" t="s">
        <v>73</v>
      </c>
      <c r="R4" s="13" t="s">
        <v>74</v>
      </c>
      <c r="S4" s="13" t="s">
        <v>75</v>
      </c>
    </row>
    <row r="5" customFormat="false" ht="35.05" hidden="false" customHeight="false" outlineLevel="0" collapsed="false">
      <c r="A5" s="15" t="n">
        <v>1</v>
      </c>
      <c r="B5" s="5" t="s">
        <v>537</v>
      </c>
      <c r="C5" s="5" t="s">
        <v>538</v>
      </c>
      <c r="D5" s="5" t="s">
        <v>539</v>
      </c>
      <c r="E5" s="5" t="s">
        <v>78</v>
      </c>
      <c r="F5" s="5" t="s">
        <v>540</v>
      </c>
      <c r="G5" s="25" t="s">
        <v>80</v>
      </c>
      <c r="H5" s="26"/>
      <c r="I5" s="25" t="s">
        <v>26</v>
      </c>
      <c r="J5" s="25" t="n">
        <v>3</v>
      </c>
      <c r="K5" s="27" t="n">
        <f aca="false">IF(OR(I5="Diterapkan",I5="Tidak Berlaku (N/A)"),1,IF(I5="Dalam Proses",0.5,0))</f>
        <v>0.5</v>
      </c>
      <c r="L5" s="26" t="s">
        <v>81</v>
      </c>
      <c r="M5" s="26" t="s">
        <v>82</v>
      </c>
      <c r="N5" s="28" t="n">
        <v>46333</v>
      </c>
      <c r="O5" s="28"/>
      <c r="P5" s="25" t="s">
        <v>83</v>
      </c>
      <c r="Q5" s="28" t="n">
        <v>46243</v>
      </c>
      <c r="R5" s="28" t="n">
        <v>46423</v>
      </c>
      <c r="S5" s="26" t="s">
        <v>84</v>
      </c>
    </row>
    <row r="6" customFormat="false" ht="23.85" hidden="false" customHeight="false" outlineLevel="0" collapsed="false">
      <c r="A6" s="15" t="n">
        <v>2</v>
      </c>
      <c r="B6" s="5" t="s">
        <v>541</v>
      </c>
      <c r="C6" s="5" t="s">
        <v>538</v>
      </c>
      <c r="D6" s="5" t="s">
        <v>539</v>
      </c>
      <c r="E6" s="5" t="s">
        <v>542</v>
      </c>
      <c r="F6" s="5" t="s">
        <v>543</v>
      </c>
      <c r="G6" s="25" t="s">
        <v>80</v>
      </c>
      <c r="H6" s="26"/>
      <c r="I6" s="25" t="s">
        <v>25</v>
      </c>
      <c r="J6" s="25" t="n">
        <v>0</v>
      </c>
      <c r="K6" s="27" t="n">
        <f aca="false">IF(OR(I6="Diterapkan",I6="Tidak Berlaku (N/A)"),1,IF(I6="Dalam Proses",0.5,0))</f>
        <v>0</v>
      </c>
      <c r="L6" s="26"/>
      <c r="M6" s="26"/>
      <c r="N6" s="28"/>
      <c r="O6" s="28"/>
      <c r="P6" s="25" t="s">
        <v>89</v>
      </c>
      <c r="Q6" s="28"/>
      <c r="R6" s="28"/>
      <c r="S6" s="26"/>
    </row>
    <row r="7" customFormat="false" ht="23.85" hidden="false" customHeight="false" outlineLevel="0" collapsed="false">
      <c r="A7" s="15" t="n">
        <v>3</v>
      </c>
      <c r="B7" s="5" t="s">
        <v>544</v>
      </c>
      <c r="C7" s="5" t="s">
        <v>538</v>
      </c>
      <c r="D7" s="5" t="s">
        <v>539</v>
      </c>
      <c r="E7" s="5" t="s">
        <v>99</v>
      </c>
      <c r="F7" s="5" t="s">
        <v>545</v>
      </c>
      <c r="G7" s="25" t="s">
        <v>80</v>
      </c>
      <c r="H7" s="26"/>
      <c r="I7" s="25" t="s">
        <v>25</v>
      </c>
      <c r="J7" s="25" t="n">
        <v>0</v>
      </c>
      <c r="K7" s="27" t="n">
        <f aca="false">IF(OR(I7="Diterapkan",I7="Tidak Berlaku (N/A)"),1,IF(I7="Dalam Proses",0.5,0))</f>
        <v>0</v>
      </c>
      <c r="L7" s="26"/>
      <c r="M7" s="26"/>
      <c r="N7" s="28"/>
      <c r="O7" s="28"/>
      <c r="P7" s="25" t="s">
        <v>89</v>
      </c>
      <c r="Q7" s="28"/>
      <c r="R7" s="28"/>
      <c r="S7" s="26"/>
    </row>
    <row r="8" customFormat="false" ht="23.85" hidden="false" customHeight="false" outlineLevel="0" collapsed="false">
      <c r="A8" s="15" t="n">
        <v>4</v>
      </c>
      <c r="B8" s="5" t="s">
        <v>546</v>
      </c>
      <c r="C8" s="5" t="s">
        <v>538</v>
      </c>
      <c r="D8" s="5" t="s">
        <v>539</v>
      </c>
      <c r="E8" s="5" t="s">
        <v>547</v>
      </c>
      <c r="F8" s="5" t="s">
        <v>548</v>
      </c>
      <c r="G8" s="25" t="s">
        <v>80</v>
      </c>
      <c r="H8" s="26"/>
      <c r="I8" s="25" t="s">
        <v>25</v>
      </c>
      <c r="J8" s="25" t="n">
        <v>0</v>
      </c>
      <c r="K8" s="27" t="n">
        <f aca="false">IF(OR(I8="Diterapkan",I8="Tidak Berlaku (N/A)"),1,IF(I8="Dalam Proses",0.5,0))</f>
        <v>0</v>
      </c>
      <c r="L8" s="26"/>
      <c r="M8" s="26"/>
      <c r="N8" s="28"/>
      <c r="O8" s="28"/>
      <c r="P8" s="25" t="s">
        <v>89</v>
      </c>
      <c r="Q8" s="28"/>
      <c r="R8" s="28"/>
      <c r="S8" s="26"/>
    </row>
    <row r="9" customFormat="false" ht="23.85" hidden="false" customHeight="false" outlineLevel="0" collapsed="false">
      <c r="A9" s="15" t="n">
        <v>5</v>
      </c>
      <c r="B9" s="5" t="s">
        <v>549</v>
      </c>
      <c r="C9" s="5" t="s">
        <v>538</v>
      </c>
      <c r="D9" s="5" t="s">
        <v>55</v>
      </c>
      <c r="E9" s="5" t="s">
        <v>211</v>
      </c>
      <c r="F9" s="5" t="s">
        <v>550</v>
      </c>
      <c r="G9" s="25" t="s">
        <v>80</v>
      </c>
      <c r="H9" s="26"/>
      <c r="I9" s="25" t="s">
        <v>25</v>
      </c>
      <c r="J9" s="25" t="n">
        <v>0</v>
      </c>
      <c r="K9" s="27" t="n">
        <f aca="false">IF(OR(I9="Diterapkan",I9="Tidak Berlaku (N/A)"),1,IF(I9="Dalam Proses",0.5,0))</f>
        <v>0</v>
      </c>
      <c r="L9" s="26"/>
      <c r="M9" s="26"/>
      <c r="N9" s="28"/>
      <c r="O9" s="28"/>
      <c r="P9" s="25" t="s">
        <v>89</v>
      </c>
      <c r="Q9" s="28"/>
      <c r="R9" s="28"/>
      <c r="S9" s="26"/>
    </row>
    <row r="10" customFormat="false" ht="23.85" hidden="false" customHeight="false" outlineLevel="0" collapsed="false">
      <c r="A10" s="15" t="n">
        <v>6</v>
      </c>
      <c r="B10" s="5" t="s">
        <v>551</v>
      </c>
      <c r="C10" s="5" t="s">
        <v>538</v>
      </c>
      <c r="D10" s="5" t="s">
        <v>55</v>
      </c>
      <c r="E10" s="5" t="s">
        <v>552</v>
      </c>
      <c r="F10" s="5" t="s">
        <v>553</v>
      </c>
      <c r="G10" s="25" t="s">
        <v>80</v>
      </c>
      <c r="H10" s="26"/>
      <c r="I10" s="25" t="s">
        <v>25</v>
      </c>
      <c r="J10" s="25" t="n">
        <v>0</v>
      </c>
      <c r="K10" s="27" t="n">
        <f aca="false">IF(OR(I10="Diterapkan",I10="Tidak Berlaku (N/A)"),1,IF(I10="Dalam Proses",0.5,0))</f>
        <v>0</v>
      </c>
      <c r="L10" s="26"/>
      <c r="M10" s="26"/>
      <c r="N10" s="28"/>
      <c r="O10" s="28"/>
      <c r="P10" s="25" t="s">
        <v>89</v>
      </c>
      <c r="Q10" s="28"/>
      <c r="R10" s="28"/>
      <c r="S10" s="26"/>
    </row>
    <row r="11" customFormat="false" ht="23.85" hidden="false" customHeight="false" outlineLevel="0" collapsed="false">
      <c r="A11" s="15" t="n">
        <v>7</v>
      </c>
      <c r="B11" s="5" t="s">
        <v>554</v>
      </c>
      <c r="C11" s="5" t="s">
        <v>538</v>
      </c>
      <c r="D11" s="5" t="s">
        <v>55</v>
      </c>
      <c r="E11" s="5" t="s">
        <v>221</v>
      </c>
      <c r="F11" s="5" t="s">
        <v>555</v>
      </c>
      <c r="G11" s="25" t="s">
        <v>80</v>
      </c>
      <c r="H11" s="26"/>
      <c r="I11" s="25" t="s">
        <v>25</v>
      </c>
      <c r="J11" s="25" t="n">
        <v>0</v>
      </c>
      <c r="K11" s="27" t="n">
        <f aca="false">IF(OR(I11="Diterapkan",I11="Tidak Berlaku (N/A)"),1,IF(I11="Dalam Proses",0.5,0))</f>
        <v>0</v>
      </c>
      <c r="L11" s="26"/>
      <c r="M11" s="26"/>
      <c r="N11" s="28"/>
      <c r="O11" s="28"/>
      <c r="P11" s="25" t="s">
        <v>89</v>
      </c>
      <c r="Q11" s="28"/>
      <c r="R11" s="28"/>
      <c r="S11" s="26"/>
    </row>
    <row r="12" customFormat="false" ht="23.85" hidden="false" customHeight="false" outlineLevel="0" collapsed="false">
      <c r="A12" s="15" t="n">
        <v>8</v>
      </c>
      <c r="B12" s="5" t="s">
        <v>556</v>
      </c>
      <c r="C12" s="5" t="s">
        <v>538</v>
      </c>
      <c r="D12" s="5" t="s">
        <v>55</v>
      </c>
      <c r="E12" s="5" t="s">
        <v>233</v>
      </c>
      <c r="F12" s="5" t="s">
        <v>557</v>
      </c>
      <c r="G12" s="25" t="s">
        <v>80</v>
      </c>
      <c r="H12" s="26"/>
      <c r="I12" s="25" t="s">
        <v>25</v>
      </c>
      <c r="J12" s="25" t="n">
        <v>0</v>
      </c>
      <c r="K12" s="27" t="n">
        <f aca="false">IF(OR(I12="Diterapkan",I12="Tidak Berlaku (N/A)"),1,IF(I12="Dalam Proses",0.5,0))</f>
        <v>0</v>
      </c>
      <c r="L12" s="26"/>
      <c r="M12" s="26"/>
      <c r="N12" s="28"/>
      <c r="O12" s="28"/>
      <c r="P12" s="25" t="s">
        <v>89</v>
      </c>
      <c r="Q12" s="28"/>
      <c r="R12" s="28"/>
      <c r="S12" s="26"/>
    </row>
    <row r="13" customFormat="false" ht="23.85" hidden="false" customHeight="false" outlineLevel="0" collapsed="false">
      <c r="A13" s="15" t="n">
        <v>9</v>
      </c>
      <c r="B13" s="5" t="s">
        <v>558</v>
      </c>
      <c r="C13" s="5" t="s">
        <v>538</v>
      </c>
      <c r="D13" s="5" t="s">
        <v>55</v>
      </c>
      <c r="E13" s="5" t="s">
        <v>237</v>
      </c>
      <c r="F13" s="5" t="s">
        <v>559</v>
      </c>
      <c r="G13" s="25" t="s">
        <v>80</v>
      </c>
      <c r="H13" s="26"/>
      <c r="I13" s="25" t="s">
        <v>25</v>
      </c>
      <c r="J13" s="25" t="n">
        <v>0</v>
      </c>
      <c r="K13" s="27" t="n">
        <f aca="false">IF(OR(I13="Diterapkan",I13="Tidak Berlaku (N/A)"),1,IF(I13="Dalam Proses",0.5,0))</f>
        <v>0</v>
      </c>
      <c r="L13" s="26"/>
      <c r="M13" s="26"/>
      <c r="N13" s="28"/>
      <c r="O13" s="28"/>
      <c r="P13" s="25" t="s">
        <v>89</v>
      </c>
      <c r="Q13" s="28"/>
      <c r="R13" s="28"/>
      <c r="S13" s="26"/>
    </row>
    <row r="14" customFormat="false" ht="23.85" hidden="false" customHeight="false" outlineLevel="0" collapsed="false">
      <c r="A14" s="15" t="n">
        <v>10</v>
      </c>
      <c r="B14" s="5" t="s">
        <v>560</v>
      </c>
      <c r="C14" s="5" t="s">
        <v>538</v>
      </c>
      <c r="D14" s="5" t="s">
        <v>114</v>
      </c>
      <c r="E14" s="5" t="s">
        <v>561</v>
      </c>
      <c r="F14" s="5" t="s">
        <v>562</v>
      </c>
      <c r="G14" s="25" t="s">
        <v>80</v>
      </c>
      <c r="H14" s="26"/>
      <c r="I14" s="25" t="s">
        <v>25</v>
      </c>
      <c r="J14" s="25" t="n">
        <v>0</v>
      </c>
      <c r="K14" s="27" t="n">
        <f aca="false">IF(OR(I14="Diterapkan",I14="Tidak Berlaku (N/A)"),1,IF(I14="Dalam Proses",0.5,0))</f>
        <v>0</v>
      </c>
      <c r="L14" s="26"/>
      <c r="M14" s="26"/>
      <c r="N14" s="28"/>
      <c r="O14" s="28"/>
      <c r="P14" s="25" t="s">
        <v>89</v>
      </c>
      <c r="Q14" s="28"/>
      <c r="R14" s="28"/>
      <c r="S14" s="26"/>
    </row>
    <row r="15" customFormat="false" ht="23.85" hidden="false" customHeight="false" outlineLevel="0" collapsed="false">
      <c r="A15" s="15" t="n">
        <v>11</v>
      </c>
      <c r="B15" s="5" t="s">
        <v>563</v>
      </c>
      <c r="C15" s="5" t="s">
        <v>538</v>
      </c>
      <c r="D15" s="5" t="s">
        <v>114</v>
      </c>
      <c r="E15" s="5" t="s">
        <v>564</v>
      </c>
      <c r="F15" s="5" t="s">
        <v>565</v>
      </c>
      <c r="G15" s="25" t="s">
        <v>80</v>
      </c>
      <c r="H15" s="26"/>
      <c r="I15" s="25" t="s">
        <v>25</v>
      </c>
      <c r="J15" s="25" t="n">
        <v>0</v>
      </c>
      <c r="K15" s="27" t="n">
        <f aca="false">IF(OR(I15="Diterapkan",I15="Tidak Berlaku (N/A)"),1,IF(I15="Dalam Proses",0.5,0))</f>
        <v>0</v>
      </c>
      <c r="L15" s="26"/>
      <c r="M15" s="26"/>
      <c r="N15" s="28"/>
      <c r="O15" s="28"/>
      <c r="P15" s="25" t="s">
        <v>89</v>
      </c>
      <c r="Q15" s="28"/>
      <c r="R15" s="28"/>
      <c r="S15" s="26"/>
    </row>
    <row r="16" customFormat="false" ht="23.85" hidden="false" customHeight="false" outlineLevel="0" collapsed="false">
      <c r="A16" s="15" t="n">
        <v>12</v>
      </c>
      <c r="B16" s="5" t="s">
        <v>566</v>
      </c>
      <c r="C16" s="5" t="s">
        <v>538</v>
      </c>
      <c r="D16" s="5" t="s">
        <v>114</v>
      </c>
      <c r="E16" s="5" t="s">
        <v>125</v>
      </c>
      <c r="F16" s="5" t="s">
        <v>567</v>
      </c>
      <c r="G16" s="25" t="s">
        <v>80</v>
      </c>
      <c r="H16" s="26"/>
      <c r="I16" s="25" t="s">
        <v>25</v>
      </c>
      <c r="J16" s="25" t="n">
        <v>0</v>
      </c>
      <c r="K16" s="27" t="n">
        <f aca="false">IF(OR(I16="Diterapkan",I16="Tidak Berlaku (N/A)"),1,IF(I16="Dalam Proses",0.5,0))</f>
        <v>0</v>
      </c>
      <c r="L16" s="26"/>
      <c r="M16" s="26"/>
      <c r="N16" s="28"/>
      <c r="O16" s="28"/>
      <c r="P16" s="25" t="s">
        <v>89</v>
      </c>
      <c r="Q16" s="28"/>
      <c r="R16" s="28"/>
      <c r="S16" s="26"/>
    </row>
    <row r="17" customFormat="false" ht="23.85" hidden="false" customHeight="false" outlineLevel="0" collapsed="false">
      <c r="A17" s="15" t="n">
        <v>13</v>
      </c>
      <c r="B17" s="5" t="s">
        <v>568</v>
      </c>
      <c r="C17" s="5" t="s">
        <v>538</v>
      </c>
      <c r="D17" s="5" t="s">
        <v>135</v>
      </c>
      <c r="E17" s="5" t="s">
        <v>136</v>
      </c>
      <c r="F17" s="5" t="s">
        <v>569</v>
      </c>
      <c r="G17" s="25" t="s">
        <v>80</v>
      </c>
      <c r="H17" s="26"/>
      <c r="I17" s="25" t="s">
        <v>25</v>
      </c>
      <c r="J17" s="25" t="n">
        <v>0</v>
      </c>
      <c r="K17" s="27" t="n">
        <f aca="false">IF(OR(I17="Diterapkan",I17="Tidak Berlaku (N/A)"),1,IF(I17="Dalam Proses",0.5,0))</f>
        <v>0</v>
      </c>
      <c r="L17" s="26"/>
      <c r="M17" s="26"/>
      <c r="N17" s="28"/>
      <c r="O17" s="28"/>
      <c r="P17" s="25" t="s">
        <v>89</v>
      </c>
      <c r="Q17" s="28"/>
      <c r="R17" s="28"/>
      <c r="S17" s="26"/>
    </row>
    <row r="18" customFormat="false" ht="23.85" hidden="false" customHeight="false" outlineLevel="0" collapsed="false">
      <c r="A18" s="15" t="n">
        <v>14</v>
      </c>
      <c r="B18" s="5" t="s">
        <v>570</v>
      </c>
      <c r="C18" s="5" t="s">
        <v>538</v>
      </c>
      <c r="D18" s="5" t="s">
        <v>135</v>
      </c>
      <c r="E18" s="5" t="s">
        <v>139</v>
      </c>
      <c r="F18" s="5" t="s">
        <v>571</v>
      </c>
      <c r="G18" s="25" t="s">
        <v>80</v>
      </c>
      <c r="H18" s="26"/>
      <c r="I18" s="25" t="s">
        <v>25</v>
      </c>
      <c r="J18" s="25" t="n">
        <v>0</v>
      </c>
      <c r="K18" s="27" t="n">
        <f aca="false">IF(OR(I18="Diterapkan",I18="Tidak Berlaku (N/A)"),1,IF(I18="Dalam Proses",0.5,0))</f>
        <v>0</v>
      </c>
      <c r="L18" s="26"/>
      <c r="M18" s="26"/>
      <c r="N18" s="28"/>
      <c r="O18" s="28"/>
      <c r="P18" s="25" t="s">
        <v>89</v>
      </c>
      <c r="Q18" s="28"/>
      <c r="R18" s="28"/>
      <c r="S18" s="26"/>
    </row>
    <row r="19" customFormat="false" ht="23.85" hidden="false" customHeight="false" outlineLevel="0" collapsed="false">
      <c r="A19" s="15" t="n">
        <v>15</v>
      </c>
      <c r="B19" s="5" t="s">
        <v>572</v>
      </c>
      <c r="C19" s="5" t="s">
        <v>538</v>
      </c>
      <c r="D19" s="5" t="s">
        <v>135</v>
      </c>
      <c r="E19" s="5" t="s">
        <v>142</v>
      </c>
      <c r="F19" s="5" t="s">
        <v>573</v>
      </c>
      <c r="G19" s="25" t="s">
        <v>80</v>
      </c>
      <c r="H19" s="26"/>
      <c r="I19" s="25" t="s">
        <v>25</v>
      </c>
      <c r="J19" s="25" t="n">
        <v>0</v>
      </c>
      <c r="K19" s="27" t="n">
        <f aca="false">IF(OR(I19="Diterapkan",I19="Tidak Berlaku (N/A)"),1,IF(I19="Dalam Proses",0.5,0))</f>
        <v>0</v>
      </c>
      <c r="L19" s="26"/>
      <c r="M19" s="26"/>
      <c r="N19" s="28"/>
      <c r="O19" s="28"/>
      <c r="P19" s="25" t="s">
        <v>89</v>
      </c>
      <c r="Q19" s="28"/>
      <c r="R19" s="28"/>
      <c r="S19" s="26"/>
    </row>
    <row r="20" customFormat="false" ht="23.85" hidden="false" customHeight="false" outlineLevel="0" collapsed="false">
      <c r="A20" s="15" t="n">
        <v>16</v>
      </c>
      <c r="B20" s="5" t="s">
        <v>574</v>
      </c>
      <c r="C20" s="5" t="s">
        <v>538</v>
      </c>
      <c r="D20" s="5" t="s">
        <v>135</v>
      </c>
      <c r="E20" s="5" t="s">
        <v>575</v>
      </c>
      <c r="F20" s="5" t="s">
        <v>576</v>
      </c>
      <c r="G20" s="25" t="s">
        <v>80</v>
      </c>
      <c r="H20" s="26"/>
      <c r="I20" s="25" t="s">
        <v>25</v>
      </c>
      <c r="J20" s="25" t="n">
        <v>0</v>
      </c>
      <c r="K20" s="27" t="n">
        <f aca="false">IF(OR(I20="Diterapkan",I20="Tidak Berlaku (N/A)"),1,IF(I20="Dalam Proses",0.5,0))</f>
        <v>0</v>
      </c>
      <c r="L20" s="26"/>
      <c r="M20" s="26"/>
      <c r="N20" s="28"/>
      <c r="O20" s="28"/>
      <c r="P20" s="25" t="s">
        <v>89</v>
      </c>
      <c r="Q20" s="28"/>
      <c r="R20" s="28"/>
      <c r="S20" s="26"/>
    </row>
    <row r="21" customFormat="false" ht="23.85" hidden="false" customHeight="false" outlineLevel="0" collapsed="false">
      <c r="A21" s="15" t="n">
        <v>17</v>
      </c>
      <c r="B21" s="5" t="s">
        <v>577</v>
      </c>
      <c r="C21" s="5" t="s">
        <v>538</v>
      </c>
      <c r="D21" s="5" t="s">
        <v>578</v>
      </c>
      <c r="E21" s="5" t="s">
        <v>149</v>
      </c>
      <c r="F21" s="5" t="s">
        <v>579</v>
      </c>
      <c r="G21" s="25" t="s">
        <v>80</v>
      </c>
      <c r="H21" s="26"/>
      <c r="I21" s="25" t="s">
        <v>25</v>
      </c>
      <c r="J21" s="25" t="n">
        <v>0</v>
      </c>
      <c r="K21" s="27" t="n">
        <f aca="false">IF(OR(I21="Diterapkan",I21="Tidak Berlaku (N/A)"),1,IF(I21="Dalam Proses",0.5,0))</f>
        <v>0</v>
      </c>
      <c r="L21" s="26"/>
      <c r="M21" s="26"/>
      <c r="N21" s="28"/>
      <c r="O21" s="28"/>
      <c r="P21" s="25" t="s">
        <v>89</v>
      </c>
      <c r="Q21" s="28"/>
      <c r="R21" s="28"/>
      <c r="S21" s="26"/>
    </row>
    <row r="22" customFormat="false" ht="23.85" hidden="false" customHeight="false" outlineLevel="0" collapsed="false">
      <c r="A22" s="15" t="n">
        <v>18</v>
      </c>
      <c r="B22" s="5" t="s">
        <v>580</v>
      </c>
      <c r="C22" s="5" t="s">
        <v>538</v>
      </c>
      <c r="D22" s="5" t="s">
        <v>578</v>
      </c>
      <c r="E22" s="5" t="s">
        <v>581</v>
      </c>
      <c r="F22" s="5" t="s">
        <v>582</v>
      </c>
      <c r="G22" s="25" t="s">
        <v>80</v>
      </c>
      <c r="H22" s="26"/>
      <c r="I22" s="25" t="s">
        <v>25</v>
      </c>
      <c r="J22" s="25" t="n">
        <v>0</v>
      </c>
      <c r="K22" s="27" t="n">
        <f aca="false">IF(OR(I22="Diterapkan",I22="Tidak Berlaku (N/A)"),1,IF(I22="Dalam Proses",0.5,0))</f>
        <v>0</v>
      </c>
      <c r="L22" s="26"/>
      <c r="M22" s="26"/>
      <c r="N22" s="28"/>
      <c r="O22" s="28"/>
      <c r="P22" s="25" t="s">
        <v>89</v>
      </c>
      <c r="Q22" s="28"/>
      <c r="R22" s="28"/>
      <c r="S22" s="26"/>
    </row>
    <row r="23" customFormat="false" ht="23.85" hidden="false" customHeight="false" outlineLevel="0" collapsed="false">
      <c r="A23" s="15" t="n">
        <v>19</v>
      </c>
      <c r="B23" s="5" t="s">
        <v>583</v>
      </c>
      <c r="C23" s="5" t="s">
        <v>538</v>
      </c>
      <c r="D23" s="5" t="s">
        <v>164</v>
      </c>
      <c r="E23" s="5" t="s">
        <v>584</v>
      </c>
      <c r="F23" s="5" t="s">
        <v>585</v>
      </c>
      <c r="G23" s="25" t="s">
        <v>80</v>
      </c>
      <c r="H23" s="26"/>
      <c r="I23" s="25" t="s">
        <v>25</v>
      </c>
      <c r="J23" s="25" t="n">
        <v>0</v>
      </c>
      <c r="K23" s="27" t="n">
        <f aca="false">IF(OR(I23="Diterapkan",I23="Tidak Berlaku (N/A)"),1,IF(I23="Dalam Proses",0.5,0))</f>
        <v>0</v>
      </c>
      <c r="L23" s="26"/>
      <c r="M23" s="26"/>
      <c r="N23" s="28"/>
      <c r="O23" s="28"/>
      <c r="P23" s="25" t="s">
        <v>89</v>
      </c>
      <c r="Q23" s="28"/>
      <c r="R23" s="28"/>
      <c r="S23" s="26"/>
    </row>
    <row r="24" customFormat="false" ht="23.85" hidden="false" customHeight="false" outlineLevel="0" collapsed="false">
      <c r="A24" s="15" t="n">
        <v>20</v>
      </c>
      <c r="B24" s="5" t="s">
        <v>586</v>
      </c>
      <c r="C24" s="5" t="s">
        <v>538</v>
      </c>
      <c r="D24" s="5" t="s">
        <v>164</v>
      </c>
      <c r="E24" s="5" t="s">
        <v>171</v>
      </c>
      <c r="F24" s="5" t="s">
        <v>587</v>
      </c>
      <c r="G24" s="25" t="s">
        <v>80</v>
      </c>
      <c r="H24" s="26"/>
      <c r="I24" s="25" t="s">
        <v>25</v>
      </c>
      <c r="J24" s="25" t="n">
        <v>0</v>
      </c>
      <c r="K24" s="27" t="n">
        <f aca="false">IF(OR(I24="Diterapkan",I24="Tidak Berlaku (N/A)"),1,IF(I24="Dalam Proses",0.5,0))</f>
        <v>0</v>
      </c>
      <c r="L24" s="26"/>
      <c r="M24" s="26"/>
      <c r="N24" s="28"/>
      <c r="O24" s="28"/>
      <c r="P24" s="25" t="s">
        <v>89</v>
      </c>
      <c r="Q24" s="28"/>
      <c r="R24" s="28"/>
      <c r="S24" s="26"/>
    </row>
    <row r="25" customFormat="false" ht="23.85" hidden="false" customHeight="false" outlineLevel="0" collapsed="false">
      <c r="A25" s="15" t="n">
        <v>21</v>
      </c>
      <c r="B25" s="5" t="s">
        <v>588</v>
      </c>
      <c r="C25" s="5" t="s">
        <v>538</v>
      </c>
      <c r="D25" s="5" t="s">
        <v>180</v>
      </c>
      <c r="E25" s="5" t="s">
        <v>184</v>
      </c>
      <c r="F25" s="5" t="s">
        <v>589</v>
      </c>
      <c r="G25" s="25" t="s">
        <v>80</v>
      </c>
      <c r="H25" s="26"/>
      <c r="I25" s="25" t="s">
        <v>25</v>
      </c>
      <c r="J25" s="25" t="n">
        <v>0</v>
      </c>
      <c r="K25" s="27" t="n">
        <f aca="false">IF(OR(I25="Diterapkan",I25="Tidak Berlaku (N/A)"),1,IF(I25="Dalam Proses",0.5,0))</f>
        <v>0</v>
      </c>
      <c r="L25" s="26"/>
      <c r="M25" s="26"/>
      <c r="N25" s="28"/>
      <c r="O25" s="28"/>
      <c r="P25" s="25" t="s">
        <v>89</v>
      </c>
      <c r="Q25" s="28"/>
      <c r="R25" s="28"/>
      <c r="S25" s="26"/>
    </row>
    <row r="26" customFormat="false" ht="23.85" hidden="false" customHeight="false" outlineLevel="0" collapsed="false">
      <c r="A26" s="15" t="n">
        <v>22</v>
      </c>
      <c r="B26" s="5" t="s">
        <v>590</v>
      </c>
      <c r="C26" s="5" t="s">
        <v>538</v>
      </c>
      <c r="D26" s="5" t="s">
        <v>187</v>
      </c>
      <c r="E26" s="5" t="s">
        <v>591</v>
      </c>
      <c r="F26" s="5" t="s">
        <v>592</v>
      </c>
      <c r="G26" s="25" t="s">
        <v>80</v>
      </c>
      <c r="H26" s="26"/>
      <c r="I26" s="25" t="s">
        <v>25</v>
      </c>
      <c r="J26" s="25" t="n">
        <v>0</v>
      </c>
      <c r="K26" s="27" t="n">
        <f aca="false">IF(OR(I26="Diterapkan",I26="Tidak Berlaku (N/A)"),1,IF(I26="Dalam Proses",0.5,0))</f>
        <v>0</v>
      </c>
      <c r="L26" s="26"/>
      <c r="M26" s="26"/>
      <c r="N26" s="28"/>
      <c r="O26" s="28"/>
      <c r="P26" s="25" t="s">
        <v>89</v>
      </c>
      <c r="Q26" s="28"/>
      <c r="R26" s="28"/>
      <c r="S26" s="26"/>
    </row>
    <row r="27" customFormat="false" ht="23.85" hidden="false" customHeight="false" outlineLevel="0" collapsed="false">
      <c r="A27" s="15" t="n">
        <v>23</v>
      </c>
      <c r="B27" s="5" t="s">
        <v>593</v>
      </c>
      <c r="C27" s="5" t="s">
        <v>538</v>
      </c>
      <c r="D27" s="5" t="s">
        <v>187</v>
      </c>
      <c r="E27" s="5" t="s">
        <v>194</v>
      </c>
      <c r="F27" s="5" t="s">
        <v>594</v>
      </c>
      <c r="G27" s="25" t="s">
        <v>80</v>
      </c>
      <c r="H27" s="26"/>
      <c r="I27" s="25" t="s">
        <v>25</v>
      </c>
      <c r="J27" s="25" t="n">
        <v>0</v>
      </c>
      <c r="K27" s="27" t="n">
        <f aca="false">IF(OR(I27="Diterapkan",I27="Tidak Berlaku (N/A)"),1,IF(I27="Dalam Proses",0.5,0))</f>
        <v>0</v>
      </c>
      <c r="L27" s="26"/>
      <c r="M27" s="26"/>
      <c r="N27" s="28"/>
      <c r="O27" s="28"/>
      <c r="P27" s="25" t="s">
        <v>89</v>
      </c>
      <c r="Q27" s="28"/>
      <c r="R27" s="28"/>
      <c r="S27" s="26"/>
    </row>
    <row r="28" customFormat="false" ht="23.85" hidden="false" customHeight="false" outlineLevel="0" collapsed="false">
      <c r="A28" s="15" t="n">
        <v>24</v>
      </c>
      <c r="B28" s="5" t="s">
        <v>595</v>
      </c>
      <c r="C28" s="5" t="s">
        <v>538</v>
      </c>
      <c r="D28" s="5" t="s">
        <v>187</v>
      </c>
      <c r="E28" s="5" t="s">
        <v>200</v>
      </c>
      <c r="F28" s="5" t="s">
        <v>596</v>
      </c>
      <c r="G28" s="25" t="s">
        <v>80</v>
      </c>
      <c r="H28" s="26"/>
      <c r="I28" s="25" t="s">
        <v>25</v>
      </c>
      <c r="J28" s="25" t="n">
        <v>0</v>
      </c>
      <c r="K28" s="27" t="n">
        <f aca="false">IF(OR(I28="Diterapkan",I28="Tidak Berlaku (N/A)"),1,IF(I28="Dalam Proses",0.5,0))</f>
        <v>0</v>
      </c>
      <c r="L28" s="26"/>
      <c r="M28" s="26"/>
      <c r="N28" s="28"/>
      <c r="O28" s="28"/>
      <c r="P28" s="25" t="s">
        <v>89</v>
      </c>
      <c r="Q28" s="28"/>
      <c r="R28" s="28"/>
      <c r="S28" s="26"/>
    </row>
    <row r="29" customFormat="false" ht="23.85" hidden="false" customHeight="false" outlineLevel="0" collapsed="false">
      <c r="A29" s="15" t="n">
        <v>25</v>
      </c>
      <c r="B29" s="5" t="s">
        <v>597</v>
      </c>
      <c r="C29" s="5" t="s">
        <v>538</v>
      </c>
      <c r="D29" s="5" t="s">
        <v>187</v>
      </c>
      <c r="E29" s="5" t="s">
        <v>598</v>
      </c>
      <c r="F29" s="5" t="s">
        <v>599</v>
      </c>
      <c r="G29" s="25" t="s">
        <v>80</v>
      </c>
      <c r="H29" s="26"/>
      <c r="I29" s="25" t="s">
        <v>25</v>
      </c>
      <c r="J29" s="25" t="n">
        <v>0</v>
      </c>
      <c r="K29" s="27" t="n">
        <f aca="false">IF(OR(I29="Diterapkan",I29="Tidak Berlaku (N/A)"),1,IF(I29="Dalam Proses",0.5,0))</f>
        <v>0</v>
      </c>
      <c r="L29" s="26"/>
      <c r="M29" s="26"/>
      <c r="N29" s="28"/>
      <c r="O29" s="28"/>
      <c r="P29" s="25" t="s">
        <v>89</v>
      </c>
      <c r="Q29" s="28"/>
      <c r="R29" s="28"/>
      <c r="S29" s="26"/>
    </row>
    <row r="30" customFormat="false" ht="23.85" hidden="false" customHeight="false" outlineLevel="0" collapsed="false">
      <c r="A30" s="15" t="n">
        <v>26</v>
      </c>
      <c r="B30" s="5" t="s">
        <v>600</v>
      </c>
      <c r="C30" s="5" t="s">
        <v>538</v>
      </c>
      <c r="D30" s="5" t="s">
        <v>355</v>
      </c>
      <c r="E30" s="5" t="s">
        <v>356</v>
      </c>
      <c r="F30" s="5" t="s">
        <v>601</v>
      </c>
      <c r="G30" s="25" t="s">
        <v>80</v>
      </c>
      <c r="H30" s="26"/>
      <c r="I30" s="25" t="s">
        <v>25</v>
      </c>
      <c r="J30" s="25" t="n">
        <v>0</v>
      </c>
      <c r="K30" s="27" t="n">
        <f aca="false">IF(OR(I30="Diterapkan",I30="Tidak Berlaku (N/A)"),1,IF(I30="Dalam Proses",0.5,0))</f>
        <v>0</v>
      </c>
      <c r="L30" s="26"/>
      <c r="M30" s="26"/>
      <c r="N30" s="28"/>
      <c r="O30" s="28"/>
      <c r="P30" s="25" t="s">
        <v>89</v>
      </c>
      <c r="Q30" s="28"/>
      <c r="R30" s="28"/>
      <c r="S30" s="26"/>
    </row>
    <row r="31" customFormat="false" ht="23.85" hidden="false" customHeight="false" outlineLevel="0" collapsed="false">
      <c r="A31" s="15" t="n">
        <v>27</v>
      </c>
      <c r="B31" s="5" t="s">
        <v>602</v>
      </c>
      <c r="C31" s="5" t="s">
        <v>538</v>
      </c>
      <c r="D31" s="5" t="s">
        <v>359</v>
      </c>
      <c r="E31" s="5" t="s">
        <v>360</v>
      </c>
      <c r="F31" s="5" t="s">
        <v>603</v>
      </c>
      <c r="G31" s="25" t="s">
        <v>80</v>
      </c>
      <c r="H31" s="26"/>
      <c r="I31" s="25" t="s">
        <v>25</v>
      </c>
      <c r="J31" s="25" t="n">
        <v>0</v>
      </c>
      <c r="K31" s="27" t="n">
        <f aca="false">IF(OR(I31="Diterapkan",I31="Tidak Berlaku (N/A)"),1,IF(I31="Dalam Proses",0.5,0))</f>
        <v>0</v>
      </c>
      <c r="L31" s="26"/>
      <c r="M31" s="26"/>
      <c r="N31" s="28"/>
      <c r="O31" s="28"/>
      <c r="P31" s="25" t="s">
        <v>89</v>
      </c>
      <c r="Q31" s="28"/>
      <c r="R31" s="28"/>
      <c r="S31" s="26"/>
    </row>
    <row r="32" customFormat="false" ht="23.85" hidden="false" customHeight="false" outlineLevel="0" collapsed="false">
      <c r="A32" s="15" t="n">
        <v>28</v>
      </c>
      <c r="B32" s="5" t="s">
        <v>604</v>
      </c>
      <c r="C32" s="5" t="s">
        <v>538</v>
      </c>
      <c r="D32" s="5" t="s">
        <v>359</v>
      </c>
      <c r="E32" s="5" t="s">
        <v>605</v>
      </c>
      <c r="F32" s="5" t="s">
        <v>606</v>
      </c>
      <c r="G32" s="25" t="s">
        <v>80</v>
      </c>
      <c r="H32" s="26"/>
      <c r="I32" s="25" t="s">
        <v>25</v>
      </c>
      <c r="J32" s="25" t="n">
        <v>0</v>
      </c>
      <c r="K32" s="27" t="n">
        <f aca="false">IF(OR(I32="Diterapkan",I32="Tidak Berlaku (N/A)"),1,IF(I32="Dalam Proses",0.5,0))</f>
        <v>0</v>
      </c>
      <c r="L32" s="26"/>
      <c r="M32" s="26"/>
      <c r="N32" s="28"/>
      <c r="O32" s="28"/>
      <c r="P32" s="25" t="s">
        <v>89</v>
      </c>
      <c r="Q32" s="28"/>
      <c r="R32" s="28"/>
      <c r="S32" s="26"/>
    </row>
    <row r="33" customFormat="false" ht="23.85" hidden="false" customHeight="false" outlineLevel="0" collapsed="false">
      <c r="A33" s="15" t="n">
        <v>29</v>
      </c>
      <c r="B33" s="5" t="s">
        <v>607</v>
      </c>
      <c r="C33" s="5" t="s">
        <v>538</v>
      </c>
      <c r="D33" s="5" t="s">
        <v>206</v>
      </c>
      <c r="E33" s="5" t="s">
        <v>608</v>
      </c>
      <c r="F33" s="5" t="s">
        <v>609</v>
      </c>
      <c r="G33" s="25" t="s">
        <v>80</v>
      </c>
      <c r="H33" s="26"/>
      <c r="I33" s="25" t="s">
        <v>25</v>
      </c>
      <c r="J33" s="25" t="n">
        <v>0</v>
      </c>
      <c r="K33" s="27" t="n">
        <f aca="false">IF(OR(I33="Diterapkan",I33="Tidak Berlaku (N/A)"),1,IF(I33="Dalam Proses",0.5,0))</f>
        <v>0</v>
      </c>
      <c r="L33" s="26"/>
      <c r="M33" s="26"/>
      <c r="N33" s="28"/>
      <c r="O33" s="28"/>
      <c r="P33" s="25" t="s">
        <v>89</v>
      </c>
      <c r="Q33" s="28"/>
      <c r="R33" s="28"/>
      <c r="S33" s="26"/>
    </row>
  </sheetData>
  <mergeCells count="2">
    <mergeCell ref="A1:S1"/>
    <mergeCell ref="A2:S2"/>
  </mergeCells>
  <conditionalFormatting sqref="I5:I33">
    <cfRule type="expression" priority="2" aboveAverage="0" equalAverage="0" bottom="0" percent="0" rank="0" text="" dxfId="0">
      <formula>$I5="Belum Dimulai"</formula>
    </cfRule>
    <cfRule type="expression" priority="3" aboveAverage="0" equalAverage="0" bottom="0" percent="0" rank="0" text="" dxfId="1">
      <formula>$I5="Dalam Proses"</formula>
    </cfRule>
    <cfRule type="expression" priority="4" aboveAverage="0" equalAverage="0" bottom="0" percent="0" rank="0" text="" dxfId="2">
      <formula>$I5="Diterapkan"</formula>
    </cfRule>
    <cfRule type="expression" priority="5" aboveAverage="0" equalAverage="0" bottom="0" percent="0" rank="0" text="" dxfId="3">
      <formula>$I5="Tidak Berlaku (N/A)"</formula>
    </cfRule>
  </conditionalFormatting>
  <conditionalFormatting sqref="H5">
    <cfRule type="expression" priority="6" aboveAverage="0" equalAverage="0" bottom="0" percent="0" rank="0" text="" dxfId="4">
      <formula>0</formula>
    </cfRule>
    <cfRule type="expression" priority="7" aboveAverage="0" equalAverage="0" bottom="0" percent="0" rank="0" text="" dxfId="4">
      <formula>0</formula>
    </cfRule>
    <cfRule type="expression" priority="8" aboveAverage="0" equalAverage="0" bottom="0" percent="0" rank="0" text="" dxfId="4">
      <formula>0</formula>
    </cfRule>
    <cfRule type="expression" priority="9" aboveAverage="0" equalAverage="0" bottom="0" percent="0" rank="0" text="" dxfId="4">
      <formula>0</formula>
    </cfRule>
  </conditionalFormatting>
  <conditionalFormatting sqref="K5:K33">
    <cfRule type="colorScale" priority="10">
      <colorScale>
        <cfvo type="num" val="0"/>
        <cfvo type="num" val="0.5"/>
        <cfvo type="num" val="1"/>
        <color rgb="FFF4CCCC"/>
        <color rgb="FFFCE5CD"/>
        <color rgb="FFD9EAD3"/>
      </colorScale>
    </cfRule>
  </conditionalFormatting>
  <dataValidations count="4">
    <dataValidation allowBlank="false" errorStyle="stop" operator="between" showDropDown="false" showErrorMessage="false" showInputMessage="false" sqref="G5:G33" type="list">
      <formula1>"Ya,Tidak"</formula1>
      <formula2>0</formula2>
    </dataValidation>
    <dataValidation allowBlank="false" errorStyle="stop" operator="between" showDropDown="false" showErrorMessage="false" showInputMessage="false" sqref="I5:I33" type="list">
      <formula1>"Belum Dimulai,Dalam Proses,Diterapkan,Tidak Berlaku (N/A)"</formula1>
      <formula2>0</formula2>
    </dataValidation>
    <dataValidation allowBlank="false" errorStyle="stop" operator="between" showDropDown="false" showErrorMessage="false" showInputMessage="false" sqref="J5:J33" type="list">
      <formula1>"0,1,2,3,4,5"</formula1>
      <formula2>0</formula2>
    </dataValidation>
    <dataValidation allowBlank="false" errorStyle="stop" operator="between" showDropDown="false" showErrorMessage="false" showInputMessage="false" sqref="P5:P33" type="list">
      <formula1>"Tinggi,Sedang,Rendah"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2026-09-08T09:01:46Z</dcterms:created>
  <dc:creator>openpyxl</dc:creator>
  <dc:description/>
  <dc:language>en-US</dc:language>
  <cp:lastModifiedBy/>
  <dcterms:modified xsi:type="dcterms:W3CDTF">2026-09-08T09:01:49Z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